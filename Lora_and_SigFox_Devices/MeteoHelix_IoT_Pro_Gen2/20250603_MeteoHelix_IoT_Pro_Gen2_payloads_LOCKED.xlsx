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ol\Desktop\MeteoHelix_IoT_Pro_Gen2\"/>
    </mc:Choice>
  </mc:AlternateContent>
  <xr:revisionPtr revIDLastSave="0" documentId="13_ncr:1_{CB2743CC-A0A9-46E9-98F6-6BB1B10D789E}" xr6:coauthVersionLast="47" xr6:coauthVersionMax="47" xr10:uidLastSave="{00000000-0000-0000-0000-000000000000}"/>
  <bookViews>
    <workbookView xWindow="19090" yWindow="-110" windowWidth="38620" windowHeight="21100" tabRatio="812" xr2:uid="{00000000-000D-0000-FFFF-FFFF00000000}"/>
  </bookViews>
  <sheets>
    <sheet name="MX2024 16Byte (Med res)" sheetId="12" r:id="rId1"/>
    <sheet name="MHA Alarm 10Byte" sheetId="2" r:id="rId2"/>
    <sheet name="MH0S Service Msg 12B message" sheetId="5" r:id="rId3"/>
    <sheet name="MH1S Service Msg 14B message" sheetId="8" r:id="rId4"/>
    <sheet name="MH2S Service 12B Alarm Return" sheetId="13" r:id="rId5"/>
    <sheet name="ALRM DOWNLINK 12B Set Alarm" sheetId="10" r:id="rId6"/>
    <sheet name="_SSC" sheetId="6" state="hidden" r:id="rId7"/>
  </sheets>
  <definedNames>
    <definedName name="_xlnm.Print_Area" localSheetId="5">'ALRM DOWNLINK 12B Set Alarm'!$A$1:$O$40</definedName>
    <definedName name="_xlnm.Print_Area" localSheetId="2">'MH0S Service Msg 12B message'!$A$1:$O$40</definedName>
    <definedName name="_xlnm.Print_Area" localSheetId="3">'MH1S Service Msg 14B message'!$A$1:$O$40</definedName>
    <definedName name="_xlnm.Print_Area" localSheetId="4">'MH2S Service 12B Alarm Return'!$A$1:$O$40</definedName>
    <definedName name="_xlnm.Print_Area" localSheetId="1">'MHA Alarm 10Byte'!$A$1:$O$36</definedName>
    <definedName name="_xlnm.Print_Area" localSheetId="0">'MX2024 16Byte (Med res)'!$A$1:$M$1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0" i="12" l="1"/>
  <c r="P15" i="12"/>
  <c r="P17" i="12" s="1"/>
  <c r="P7" i="12"/>
  <c r="I19" i="8"/>
  <c r="J19" i="8"/>
  <c r="K19" i="8"/>
  <c r="L19" i="8"/>
  <c r="J6" i="8"/>
  <c r="K6" i="8"/>
  <c r="L6" i="8"/>
  <c r="I6" i="8"/>
  <c r="M13" i="8"/>
  <c r="AH37" i="8"/>
  <c r="AI37" i="8"/>
  <c r="AJ37" i="8"/>
  <c r="AK37" i="8"/>
  <c r="B19" i="2"/>
  <c r="C16" i="13"/>
  <c r="AK37" i="13"/>
  <c r="AK38" i="13"/>
  <c r="AJ37" i="13"/>
  <c r="AJ38" i="13"/>
  <c r="AI37" i="13"/>
  <c r="AI38" i="13"/>
  <c r="AH37" i="13"/>
  <c r="AH38" i="13"/>
  <c r="AG37" i="13"/>
  <c r="AG38" i="13"/>
  <c r="AF37" i="13"/>
  <c r="AF38" i="13"/>
  <c r="AE37" i="13"/>
  <c r="AE38" i="13"/>
  <c r="AD37" i="13"/>
  <c r="AD38" i="13"/>
  <c r="AC37" i="13"/>
  <c r="AC38" i="13"/>
  <c r="AB37" i="13"/>
  <c r="AB38" i="13"/>
  <c r="AA37" i="13"/>
  <c r="AA38" i="13"/>
  <c r="Z37" i="13"/>
  <c r="Z38" i="13"/>
  <c r="Y37" i="13"/>
  <c r="Y38" i="13"/>
  <c r="X37" i="13"/>
  <c r="X38" i="13"/>
  <c r="W37" i="13"/>
  <c r="W38" i="13"/>
  <c r="V37" i="13"/>
  <c r="V38" i="13"/>
  <c r="U37" i="13"/>
  <c r="U38" i="13"/>
  <c r="T37" i="13"/>
  <c r="T38" i="13"/>
  <c r="S37" i="13"/>
  <c r="S38" i="13"/>
  <c r="R37" i="13"/>
  <c r="R38" i="13"/>
  <c r="Q37" i="13"/>
  <c r="Q38" i="13"/>
  <c r="P37" i="13"/>
  <c r="P38" i="13"/>
  <c r="O37" i="13"/>
  <c r="O38" i="13"/>
  <c r="N37" i="13"/>
  <c r="N38" i="13"/>
  <c r="M37" i="13"/>
  <c r="M38" i="13"/>
  <c r="L37" i="13"/>
  <c r="L38" i="13"/>
  <c r="K37" i="13"/>
  <c r="K38" i="13"/>
  <c r="J37" i="13"/>
  <c r="J38" i="13"/>
  <c r="I37" i="13"/>
  <c r="I38" i="13"/>
  <c r="H37" i="13"/>
  <c r="H38" i="13"/>
  <c r="G37" i="13"/>
  <c r="G38" i="13"/>
  <c r="F37" i="13"/>
  <c r="F38" i="13"/>
  <c r="E37" i="13"/>
  <c r="E38" i="13"/>
  <c r="D37" i="13"/>
  <c r="D38" i="13"/>
  <c r="C37" i="13"/>
  <c r="C38" i="13"/>
  <c r="B37" i="13"/>
  <c r="B38" i="13"/>
  <c r="K19" i="13"/>
  <c r="J19" i="13"/>
  <c r="K16" i="13"/>
  <c r="J16" i="13"/>
  <c r="I16" i="13"/>
  <c r="I19" i="13"/>
  <c r="N14" i="13"/>
  <c r="N16" i="13"/>
  <c r="N19" i="13"/>
  <c r="M14" i="13"/>
  <c r="M16" i="13"/>
  <c r="M19" i="13"/>
  <c r="L14" i="13"/>
  <c r="L16" i="13"/>
  <c r="L19" i="13"/>
  <c r="K14" i="13"/>
  <c r="J14" i="13"/>
  <c r="I14" i="13"/>
  <c r="H14" i="13"/>
  <c r="H16" i="13"/>
  <c r="H19" i="13"/>
  <c r="G14" i="13"/>
  <c r="G16" i="13"/>
  <c r="G19" i="13"/>
  <c r="F14" i="13"/>
  <c r="F16" i="13"/>
  <c r="F19" i="13"/>
  <c r="E14" i="13"/>
  <c r="E16" i="13"/>
  <c r="E19" i="13"/>
  <c r="D14" i="13"/>
  <c r="D16" i="13"/>
  <c r="D19" i="13"/>
  <c r="C14" i="13"/>
  <c r="C19" i="13"/>
  <c r="B14" i="13"/>
  <c r="B16" i="13"/>
  <c r="B19" i="13"/>
  <c r="O13" i="13"/>
  <c r="O18" i="13"/>
  <c r="P18" i="13"/>
  <c r="C6" i="13"/>
  <c r="D6" i="13"/>
  <c r="E6" i="13"/>
  <c r="F6" i="13"/>
  <c r="G6" i="13"/>
  <c r="H6" i="13"/>
  <c r="I6" i="13"/>
  <c r="J6" i="13"/>
  <c r="K6" i="13"/>
  <c r="L6" i="13"/>
  <c r="M6" i="13"/>
  <c r="N6" i="13"/>
  <c r="B5" i="13"/>
  <c r="L8" i="13"/>
  <c r="K8" i="13"/>
  <c r="J8" i="13"/>
  <c r="I8" i="13"/>
  <c r="H8" i="13"/>
  <c r="G8" i="13"/>
  <c r="F8" i="13"/>
  <c r="E8" i="13"/>
  <c r="D8" i="13"/>
  <c r="C8" i="13"/>
  <c r="B8" i="13"/>
  <c r="N8" i="13"/>
  <c r="M8" i="13"/>
  <c r="R19" i="12"/>
  <c r="AP34" i="12"/>
  <c r="AP35" i="12" s="1"/>
  <c r="AO34" i="12"/>
  <c r="AO35" i="12" s="1"/>
  <c r="AN34" i="12"/>
  <c r="AN35" i="12" s="1"/>
  <c r="AM34" i="12"/>
  <c r="AM35" i="12" s="1"/>
  <c r="AL34" i="12"/>
  <c r="AL35" i="12" s="1"/>
  <c r="AK34" i="12"/>
  <c r="AK35" i="12" s="1"/>
  <c r="AJ34" i="12"/>
  <c r="AJ35" i="12" s="1"/>
  <c r="AI34" i="12"/>
  <c r="AI35" i="12" s="1"/>
  <c r="AH34" i="12"/>
  <c r="AH35" i="12" s="1"/>
  <c r="AG34" i="12"/>
  <c r="AG35" i="12" s="1"/>
  <c r="AF34" i="12"/>
  <c r="AF35" i="12" s="1"/>
  <c r="AE34" i="12"/>
  <c r="AE35" i="12" s="1"/>
  <c r="AD34" i="12"/>
  <c r="AD35" i="12" s="1"/>
  <c r="AC34" i="12"/>
  <c r="AC35" i="12" s="1"/>
  <c r="AB34" i="12"/>
  <c r="AB35" i="12" s="1"/>
  <c r="AA34" i="12"/>
  <c r="AA35" i="12" s="1"/>
  <c r="Z34" i="12"/>
  <c r="Z35" i="12" s="1"/>
  <c r="Y34" i="12"/>
  <c r="Y35" i="12" s="1"/>
  <c r="X34" i="12"/>
  <c r="X35" i="12" s="1"/>
  <c r="W34" i="12"/>
  <c r="W35" i="12" s="1"/>
  <c r="V34" i="12"/>
  <c r="V35" i="12" s="1"/>
  <c r="U34" i="12"/>
  <c r="U35" i="12" s="1"/>
  <c r="T34" i="12"/>
  <c r="T35" i="12" s="1"/>
  <c r="S34" i="12"/>
  <c r="S35" i="12" s="1"/>
  <c r="R34" i="12"/>
  <c r="R35" i="12" s="1"/>
  <c r="Q34" i="12"/>
  <c r="Q35" i="12" s="1"/>
  <c r="P34" i="12"/>
  <c r="P35" i="12" s="1"/>
  <c r="O34" i="12"/>
  <c r="O35" i="12" s="1"/>
  <c r="N34" i="12"/>
  <c r="N35" i="12" s="1"/>
  <c r="M34" i="12"/>
  <c r="M35" i="12" s="1"/>
  <c r="L34" i="12"/>
  <c r="L35" i="12" s="1"/>
  <c r="K34" i="12"/>
  <c r="K35" i="12" s="1"/>
  <c r="J34" i="12"/>
  <c r="J35" i="12" s="1"/>
  <c r="I34" i="12"/>
  <c r="I35" i="12" s="1"/>
  <c r="H34" i="12"/>
  <c r="H35" i="12" s="1"/>
  <c r="G34" i="12"/>
  <c r="G35" i="12" s="1"/>
  <c r="F34" i="12"/>
  <c r="F35" i="12" s="1"/>
  <c r="E34" i="12"/>
  <c r="E35" i="12" s="1"/>
  <c r="D34" i="12"/>
  <c r="D35" i="12" s="1"/>
  <c r="C34" i="12"/>
  <c r="C35" i="12" s="1"/>
  <c r="B34" i="12"/>
  <c r="B35" i="12" s="1"/>
  <c r="C17" i="12"/>
  <c r="O15" i="12"/>
  <c r="O17" i="12" s="1"/>
  <c r="O20" i="12" s="1"/>
  <c r="N15" i="12"/>
  <c r="N17" i="12"/>
  <c r="N20" i="12" s="1"/>
  <c r="M15" i="12"/>
  <c r="M17" i="12" s="1"/>
  <c r="M20" i="12" s="1"/>
  <c r="L15" i="12"/>
  <c r="L17" i="12"/>
  <c r="L20" i="12" s="1"/>
  <c r="K15" i="12"/>
  <c r="K17" i="12" s="1"/>
  <c r="K20" i="12" s="1"/>
  <c r="J15" i="12"/>
  <c r="J17" i="12" s="1"/>
  <c r="J20" i="12" s="1"/>
  <c r="I15" i="12"/>
  <c r="I17" i="12" s="1"/>
  <c r="I20" i="12" s="1"/>
  <c r="H15" i="12"/>
  <c r="H17" i="12" s="1"/>
  <c r="H20" i="12" s="1"/>
  <c r="G15" i="12"/>
  <c r="G17" i="12"/>
  <c r="G20" i="12"/>
  <c r="F15" i="12"/>
  <c r="F17" i="12"/>
  <c r="F20" i="12" s="1"/>
  <c r="E15" i="12"/>
  <c r="E17" i="12" s="1"/>
  <c r="E20" i="12" s="1"/>
  <c r="D15" i="12"/>
  <c r="D17" i="12" s="1"/>
  <c r="D20" i="12" s="1"/>
  <c r="B15" i="12"/>
  <c r="B17" i="12" s="1"/>
  <c r="B20" i="12" s="1"/>
  <c r="Q14" i="12"/>
  <c r="Q20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N14" i="10"/>
  <c r="N16" i="10"/>
  <c r="N19" i="10"/>
  <c r="C14" i="10"/>
  <c r="C16" i="10"/>
  <c r="AK37" i="10"/>
  <c r="AK38" i="10"/>
  <c r="AJ37" i="10"/>
  <c r="AJ38" i="10"/>
  <c r="AI37" i="10"/>
  <c r="AI38" i="10"/>
  <c r="AH37" i="10"/>
  <c r="AH38" i="10"/>
  <c r="AG37" i="10"/>
  <c r="AG38" i="10"/>
  <c r="AF37" i="10"/>
  <c r="AF38" i="10"/>
  <c r="AE37" i="10"/>
  <c r="AE38" i="10"/>
  <c r="AD37" i="10"/>
  <c r="AD38" i="10"/>
  <c r="AC37" i="10"/>
  <c r="AC38" i="10"/>
  <c r="AB37" i="10"/>
  <c r="AB38" i="10"/>
  <c r="AA37" i="10"/>
  <c r="AA38" i="10"/>
  <c r="Z37" i="10"/>
  <c r="Z38" i="10"/>
  <c r="Y37" i="10"/>
  <c r="Y38" i="10"/>
  <c r="X37" i="10"/>
  <c r="X38" i="10"/>
  <c r="W37" i="10"/>
  <c r="W38" i="10"/>
  <c r="V37" i="10"/>
  <c r="V38" i="10"/>
  <c r="U37" i="10"/>
  <c r="U38" i="10"/>
  <c r="T37" i="10"/>
  <c r="T38" i="10"/>
  <c r="S37" i="10"/>
  <c r="S38" i="10"/>
  <c r="R37" i="10"/>
  <c r="R38" i="10"/>
  <c r="Q37" i="10"/>
  <c r="Q38" i="10"/>
  <c r="P37" i="10"/>
  <c r="P38" i="10"/>
  <c r="O37" i="10"/>
  <c r="O38" i="10"/>
  <c r="N37" i="10"/>
  <c r="N38" i="10"/>
  <c r="M37" i="10"/>
  <c r="M38" i="10"/>
  <c r="L37" i="10"/>
  <c r="L38" i="10"/>
  <c r="K37" i="10"/>
  <c r="K38" i="10"/>
  <c r="J37" i="10"/>
  <c r="J38" i="10"/>
  <c r="I37" i="10"/>
  <c r="I38" i="10"/>
  <c r="H37" i="10"/>
  <c r="H38" i="10"/>
  <c r="G37" i="10"/>
  <c r="G38" i="10"/>
  <c r="F37" i="10"/>
  <c r="F38" i="10"/>
  <c r="E37" i="10"/>
  <c r="E38" i="10"/>
  <c r="D37" i="10"/>
  <c r="D38" i="10"/>
  <c r="C37" i="10"/>
  <c r="C38" i="10"/>
  <c r="B37" i="10"/>
  <c r="B38" i="10"/>
  <c r="M14" i="10"/>
  <c r="M16" i="10"/>
  <c r="M19" i="10"/>
  <c r="L14" i="10"/>
  <c r="L16" i="10"/>
  <c r="L19" i="10"/>
  <c r="K14" i="10"/>
  <c r="K16" i="10"/>
  <c r="K19" i="10"/>
  <c r="J14" i="10"/>
  <c r="J16" i="10"/>
  <c r="J19" i="10"/>
  <c r="I14" i="10"/>
  <c r="I16" i="10"/>
  <c r="I19" i="10"/>
  <c r="H14" i="10"/>
  <c r="H16" i="10"/>
  <c r="H19" i="10"/>
  <c r="G14" i="10"/>
  <c r="G16" i="10"/>
  <c r="G19" i="10"/>
  <c r="F14" i="10"/>
  <c r="F16" i="10"/>
  <c r="F19" i="10"/>
  <c r="E14" i="10"/>
  <c r="E16" i="10"/>
  <c r="E19" i="10"/>
  <c r="D14" i="10"/>
  <c r="D16" i="10"/>
  <c r="D19" i="10"/>
  <c r="B14" i="10"/>
  <c r="B16" i="10"/>
  <c r="B19" i="10"/>
  <c r="O13" i="10"/>
  <c r="O18" i="10"/>
  <c r="P18" i="10"/>
  <c r="C6" i="10"/>
  <c r="D6" i="10"/>
  <c r="E6" i="10"/>
  <c r="F6" i="10"/>
  <c r="G6" i="10"/>
  <c r="H6" i="10"/>
  <c r="I6" i="10"/>
  <c r="J6" i="10"/>
  <c r="K6" i="10"/>
  <c r="L6" i="10"/>
  <c r="M6" i="10"/>
  <c r="N6" i="10"/>
  <c r="B37" i="8"/>
  <c r="B38" i="8"/>
  <c r="C37" i="8"/>
  <c r="C38" i="8"/>
  <c r="D37" i="8"/>
  <c r="D38" i="8" s="1"/>
  <c r="E37" i="8"/>
  <c r="E38" i="8"/>
  <c r="F37" i="8"/>
  <c r="F38" i="8"/>
  <c r="G37" i="8"/>
  <c r="G38" i="8"/>
  <c r="H37" i="8"/>
  <c r="H38" i="8" s="1"/>
  <c r="I37" i="8"/>
  <c r="I38" i="8"/>
  <c r="J37" i="8"/>
  <c r="J38" i="8"/>
  <c r="K37" i="8"/>
  <c r="K38" i="8"/>
  <c r="L37" i="8"/>
  <c r="L38" i="8" s="1"/>
  <c r="M37" i="8"/>
  <c r="M38" i="8"/>
  <c r="N37" i="8"/>
  <c r="N38" i="8"/>
  <c r="O37" i="8"/>
  <c r="O38" i="8"/>
  <c r="P37" i="8"/>
  <c r="P38" i="8" s="1"/>
  <c r="Q37" i="8"/>
  <c r="Q38" i="8"/>
  <c r="R37" i="8"/>
  <c r="R38" i="8"/>
  <c r="S37" i="8"/>
  <c r="S38" i="8"/>
  <c r="T37" i="8"/>
  <c r="T38" i="8" s="1"/>
  <c r="U37" i="8"/>
  <c r="U38" i="8"/>
  <c r="V37" i="8"/>
  <c r="V38" i="8"/>
  <c r="W37" i="8"/>
  <c r="W38" i="8"/>
  <c r="X37" i="8"/>
  <c r="X38" i="8" s="1"/>
  <c r="Y37" i="8"/>
  <c r="Y38" i="8"/>
  <c r="Z37" i="8"/>
  <c r="Z38" i="8"/>
  <c r="AA37" i="8"/>
  <c r="AA38" i="8"/>
  <c r="AB37" i="8"/>
  <c r="AB38" i="8" s="1"/>
  <c r="AC37" i="8"/>
  <c r="AC38" i="8"/>
  <c r="AD37" i="8"/>
  <c r="AD38" i="8"/>
  <c r="AE37" i="8"/>
  <c r="AE38" i="8"/>
  <c r="AF37" i="8"/>
  <c r="AF38" i="8" s="1"/>
  <c r="AG37" i="8"/>
  <c r="AG38" i="8"/>
  <c r="AH38" i="8"/>
  <c r="AI38" i="8"/>
  <c r="AJ38" i="8"/>
  <c r="AK38" i="8"/>
  <c r="K18" i="2"/>
  <c r="B33" i="2"/>
  <c r="B34" i="2"/>
  <c r="C33" i="2"/>
  <c r="C34" i="2"/>
  <c r="D33" i="2"/>
  <c r="D34" i="2"/>
  <c r="E33" i="2"/>
  <c r="E34" i="2"/>
  <c r="F33" i="2"/>
  <c r="F34" i="2"/>
  <c r="G33" i="2"/>
  <c r="G34" i="2"/>
  <c r="H33" i="2"/>
  <c r="H34" i="2"/>
  <c r="I33" i="2"/>
  <c r="I34" i="2"/>
  <c r="J33" i="2"/>
  <c r="J34" i="2"/>
  <c r="K33" i="2"/>
  <c r="K34" i="2"/>
  <c r="L33" i="2"/>
  <c r="L34" i="2"/>
  <c r="M33" i="2"/>
  <c r="M34" i="2"/>
  <c r="N33" i="2"/>
  <c r="N34" i="2"/>
  <c r="O33" i="2"/>
  <c r="O34" i="2"/>
  <c r="P33" i="2"/>
  <c r="P34" i="2"/>
  <c r="Q33" i="2"/>
  <c r="Q34" i="2"/>
  <c r="R33" i="2"/>
  <c r="R34" i="2"/>
  <c r="S33" i="2"/>
  <c r="S34" i="2"/>
  <c r="T33" i="2"/>
  <c r="T34" i="2"/>
  <c r="U33" i="2"/>
  <c r="U34" i="2"/>
  <c r="V33" i="2"/>
  <c r="V34" i="2"/>
  <c r="W33" i="2"/>
  <c r="W34" i="2"/>
  <c r="X33" i="2"/>
  <c r="X34" i="2"/>
  <c r="Y33" i="2"/>
  <c r="Y34" i="2"/>
  <c r="Z33" i="2"/>
  <c r="Z34" i="2"/>
  <c r="AA33" i="2"/>
  <c r="AA34" i="2"/>
  <c r="AB33" i="2"/>
  <c r="AB34" i="2"/>
  <c r="AC33" i="2"/>
  <c r="AC34" i="2"/>
  <c r="AD33" i="2"/>
  <c r="AD34" i="2"/>
  <c r="AE33" i="2"/>
  <c r="AE34" i="2"/>
  <c r="AF33" i="2"/>
  <c r="AF34" i="2"/>
  <c r="AG33" i="2"/>
  <c r="AG34" i="2"/>
  <c r="AH33" i="2"/>
  <c r="AH34" i="2"/>
  <c r="AI33" i="2"/>
  <c r="AI34" i="2"/>
  <c r="AJ33" i="2"/>
  <c r="AJ34" i="2"/>
  <c r="AK33" i="2"/>
  <c r="AK34" i="2"/>
  <c r="C6" i="2"/>
  <c r="D6" i="2"/>
  <c r="E6" i="2"/>
  <c r="C6" i="8"/>
  <c r="D6" i="8"/>
  <c r="E6" i="8"/>
  <c r="F6" i="8"/>
  <c r="G6" i="8"/>
  <c r="H6" i="8"/>
  <c r="H14" i="8"/>
  <c r="H16" i="8"/>
  <c r="H19" i="8"/>
  <c r="G14" i="8"/>
  <c r="G16" i="8"/>
  <c r="G19" i="8"/>
  <c r="F14" i="8"/>
  <c r="F16" i="8"/>
  <c r="F19" i="8"/>
  <c r="E14" i="8"/>
  <c r="E16" i="8"/>
  <c r="E19" i="8"/>
  <c r="D14" i="8"/>
  <c r="D16" i="8"/>
  <c r="D19" i="8"/>
  <c r="C14" i="8"/>
  <c r="C16" i="8"/>
  <c r="C19" i="8"/>
  <c r="B14" i="8"/>
  <c r="B16" i="8"/>
  <c r="B19" i="8"/>
  <c r="M18" i="8"/>
  <c r="B37" i="5"/>
  <c r="B38" i="5" s="1"/>
  <c r="C37" i="5"/>
  <c r="C38" i="5" s="1"/>
  <c r="D37" i="5"/>
  <c r="D38" i="5" s="1"/>
  <c r="E37" i="5"/>
  <c r="E38" i="5" s="1"/>
  <c r="F37" i="5"/>
  <c r="F38" i="5" s="1"/>
  <c r="G37" i="5"/>
  <c r="G38" i="5" s="1"/>
  <c r="H37" i="5"/>
  <c r="H38" i="5" s="1"/>
  <c r="I37" i="5"/>
  <c r="I38" i="5" s="1"/>
  <c r="J37" i="5"/>
  <c r="J38" i="5" s="1"/>
  <c r="K37" i="5"/>
  <c r="K38" i="5" s="1"/>
  <c r="L37" i="5"/>
  <c r="L38" i="5" s="1"/>
  <c r="M37" i="5"/>
  <c r="M38" i="5" s="1"/>
  <c r="N37" i="5"/>
  <c r="N38" i="5" s="1"/>
  <c r="O37" i="5"/>
  <c r="O38" i="5" s="1"/>
  <c r="P37" i="5"/>
  <c r="P38" i="5" s="1"/>
  <c r="Q37" i="5"/>
  <c r="Q38" i="5" s="1"/>
  <c r="R37" i="5"/>
  <c r="R38" i="5" s="1"/>
  <c r="S37" i="5"/>
  <c r="S38" i="5" s="1"/>
  <c r="T37" i="5"/>
  <c r="T38" i="5" s="1"/>
  <c r="U37" i="5"/>
  <c r="U38" i="5"/>
  <c r="V37" i="5"/>
  <c r="V38" i="5" s="1"/>
  <c r="W37" i="5"/>
  <c r="W38" i="5" s="1"/>
  <c r="X37" i="5"/>
  <c r="X38" i="5" s="1"/>
  <c r="Y37" i="5"/>
  <c r="Y38" i="5" s="1"/>
  <c r="Z37" i="5"/>
  <c r="Z38" i="5" s="1"/>
  <c r="AA37" i="5"/>
  <c r="AA38" i="5" s="1"/>
  <c r="AB37" i="5"/>
  <c r="AB38" i="5" s="1"/>
  <c r="AC37" i="5"/>
  <c r="AC38" i="5" s="1"/>
  <c r="AD37" i="5"/>
  <c r="AD38" i="5" s="1"/>
  <c r="AE37" i="5"/>
  <c r="AE38" i="5" s="1"/>
  <c r="AF37" i="5"/>
  <c r="AF38" i="5" s="1"/>
  <c r="AG37" i="5"/>
  <c r="AG38" i="5" s="1"/>
  <c r="AH37" i="5"/>
  <c r="AH38" i="5" s="1"/>
  <c r="AI37" i="5"/>
  <c r="AI38" i="5" s="1"/>
  <c r="AJ37" i="5"/>
  <c r="AJ38" i="5" s="1"/>
  <c r="AK37" i="5"/>
  <c r="AK38" i="5" s="1"/>
  <c r="C6" i="5"/>
  <c r="D6" i="5" s="1"/>
  <c r="E6" i="5" s="1"/>
  <c r="F6" i="5" s="1"/>
  <c r="G6" i="5" s="1"/>
  <c r="H6" i="5" s="1"/>
  <c r="I6" i="5" s="1"/>
  <c r="J6" i="5" s="1"/>
  <c r="K6" i="5" s="1"/>
  <c r="K14" i="5"/>
  <c r="K16" i="5" s="1"/>
  <c r="K19" i="5" s="1"/>
  <c r="J14" i="5"/>
  <c r="J16" i="5" s="1"/>
  <c r="J19" i="5" s="1"/>
  <c r="I14" i="5"/>
  <c r="I16" i="5" s="1"/>
  <c r="I19" i="5" s="1"/>
  <c r="H14" i="5"/>
  <c r="H16" i="5" s="1"/>
  <c r="H19" i="5" s="1"/>
  <c r="G14" i="5"/>
  <c r="G16" i="5"/>
  <c r="G19" i="5" s="1"/>
  <c r="F14" i="5"/>
  <c r="F16" i="5" s="1"/>
  <c r="F19" i="5" s="1"/>
  <c r="E14" i="5"/>
  <c r="E16" i="5" s="1"/>
  <c r="E19" i="5" s="1"/>
  <c r="D14" i="5"/>
  <c r="D16" i="5"/>
  <c r="D19" i="5" s="1"/>
  <c r="C14" i="5"/>
  <c r="C16" i="5" s="1"/>
  <c r="C19" i="5" s="1"/>
  <c r="B14" i="5"/>
  <c r="B16" i="5" s="1"/>
  <c r="B19" i="5" s="1"/>
  <c r="L13" i="5"/>
  <c r="L18" i="5" s="1"/>
  <c r="O2" i="5"/>
  <c r="J14" i="2"/>
  <c r="J16" i="2"/>
  <c r="J19" i="2"/>
  <c r="I14" i="2"/>
  <c r="I16" i="2"/>
  <c r="I19" i="2"/>
  <c r="H14" i="2"/>
  <c r="H16" i="2"/>
  <c r="H19" i="2"/>
  <c r="G14" i="2"/>
  <c r="G16" i="2"/>
  <c r="G19" i="2"/>
  <c r="F14" i="2"/>
  <c r="F16" i="2"/>
  <c r="F19" i="2"/>
  <c r="E14" i="2"/>
  <c r="E16" i="2"/>
  <c r="E19" i="2"/>
  <c r="D14" i="2"/>
  <c r="D16" i="2"/>
  <c r="D19" i="2"/>
  <c r="C14" i="2"/>
  <c r="C16" i="2"/>
  <c r="C19" i="2"/>
  <c r="B14" i="2"/>
  <c r="B16" i="2"/>
  <c r="K13" i="2"/>
  <c r="B5" i="2"/>
  <c r="K19" i="2"/>
  <c r="F6" i="2"/>
  <c r="C19" i="10"/>
  <c r="B5" i="10"/>
  <c r="B8" i="2"/>
  <c r="D8" i="2"/>
  <c r="C8" i="2"/>
  <c r="E8" i="2"/>
  <c r="F8" i="2"/>
  <c r="G6" i="2"/>
  <c r="N8" i="10"/>
  <c r="D8" i="10"/>
  <c r="C8" i="10"/>
  <c r="B8" i="10"/>
  <c r="M8" i="10"/>
  <c r="L8" i="10"/>
  <c r="K8" i="10"/>
  <c r="J8" i="10"/>
  <c r="I8" i="10"/>
  <c r="H8" i="10"/>
  <c r="G8" i="10"/>
  <c r="E8" i="10"/>
  <c r="F8" i="10"/>
  <c r="G8" i="2"/>
  <c r="H6" i="2"/>
  <c r="H8" i="2"/>
  <c r="I6" i="2"/>
  <c r="I8" i="2"/>
  <c r="J6" i="2"/>
  <c r="J8" i="2"/>
  <c r="I9" i="13"/>
  <c r="H9" i="2"/>
  <c r="D9" i="13"/>
  <c r="H9" i="10"/>
  <c r="K9" i="13"/>
  <c r="F9" i="2"/>
  <c r="I9" i="10"/>
  <c r="G9" i="2"/>
  <c r="D9" i="10"/>
  <c r="F9" i="10"/>
  <c r="L9" i="13"/>
  <c r="K9" i="10"/>
  <c r="M9" i="10"/>
  <c r="G9" i="10"/>
  <c r="C9" i="10"/>
  <c r="D9" i="2"/>
  <c r="B9" i="10"/>
  <c r="I9" i="2"/>
  <c r="B9" i="2"/>
  <c r="N9" i="10"/>
  <c r="N9" i="13"/>
  <c r="J9" i="13"/>
  <c r="E9" i="10"/>
  <c r="J9" i="2"/>
  <c r="B9" i="13"/>
  <c r="M9" i="13"/>
  <c r="G9" i="13"/>
  <c r="C9" i="2"/>
  <c r="E9" i="2"/>
  <c r="J9" i="10"/>
  <c r="E9" i="13"/>
  <c r="L9" i="10"/>
  <c r="C9" i="13"/>
  <c r="H9" i="13"/>
  <c r="F9" i="13"/>
  <c r="B5" i="8" l="1"/>
  <c r="B5" i="5"/>
  <c r="B6" i="12"/>
  <c r="J10" i="13"/>
  <c r="F10" i="2"/>
  <c r="F20" i="2" s="1"/>
  <c r="D10" i="10"/>
  <c r="M10" i="13"/>
  <c r="H10" i="10"/>
  <c r="D10" i="2"/>
  <c r="D20" i="2" s="1"/>
  <c r="E10" i="10"/>
  <c r="E10" i="13"/>
  <c r="M10" i="10"/>
  <c r="E10" i="2"/>
  <c r="E20" i="2" s="1"/>
  <c r="N10" i="13"/>
  <c r="J10" i="2"/>
  <c r="J20" i="2" s="1"/>
  <c r="L10" i="13"/>
  <c r="D10" i="13"/>
  <c r="C10" i="13"/>
  <c r="B10" i="13"/>
  <c r="N10" i="10"/>
  <c r="L10" i="10"/>
  <c r="K10" i="10"/>
  <c r="C10" i="10"/>
  <c r="F10" i="13"/>
  <c r="I10" i="13"/>
  <c r="I10" i="2"/>
  <c r="I20" i="2" s="1"/>
  <c r="J10" i="10"/>
  <c r="H10" i="2"/>
  <c r="H20" i="2" s="1"/>
  <c r="G10" i="2"/>
  <c r="G20" i="2" s="1"/>
  <c r="C10" i="2"/>
  <c r="C20" i="2" s="1"/>
  <c r="B10" i="2"/>
  <c r="B20" i="2" s="1"/>
  <c r="I10" i="10"/>
  <c r="G10" i="10"/>
  <c r="F10" i="10"/>
  <c r="B10" i="10"/>
  <c r="H10" i="13"/>
  <c r="K10" i="13"/>
  <c r="G10" i="13"/>
  <c r="H8" i="8" l="1"/>
  <c r="C8" i="8"/>
  <c r="E8" i="8"/>
  <c r="B8" i="8"/>
  <c r="G8" i="8"/>
  <c r="J8" i="8"/>
  <c r="L8" i="8"/>
  <c r="K8" i="8"/>
  <c r="F8" i="8"/>
  <c r="I8" i="8"/>
  <c r="D8" i="8"/>
  <c r="C9" i="12"/>
  <c r="P9" i="12"/>
  <c r="B9" i="12"/>
  <c r="H9" i="12"/>
  <c r="I9" i="12"/>
  <c r="F9" i="12"/>
  <c r="K9" i="12"/>
  <c r="N9" i="12"/>
  <c r="E9" i="12"/>
  <c r="D9" i="12"/>
  <c r="G9" i="12"/>
  <c r="O9" i="12"/>
  <c r="J9" i="12"/>
  <c r="L9" i="12"/>
  <c r="M9" i="12"/>
  <c r="K8" i="5"/>
  <c r="F8" i="5"/>
  <c r="C8" i="5"/>
  <c r="I8" i="5"/>
  <c r="B8" i="5"/>
  <c r="D8" i="5"/>
  <c r="G8" i="5"/>
  <c r="E8" i="5"/>
  <c r="J8" i="5"/>
  <c r="H8" i="5"/>
  <c r="F9" i="5"/>
  <c r="L9" i="8"/>
  <c r="I9" i="8"/>
  <c r="E9" i="8"/>
  <c r="C9" i="5"/>
  <c r="B9" i="8"/>
  <c r="J9" i="8"/>
  <c r="F9" i="8"/>
  <c r="P10" i="12"/>
  <c r="E9" i="5"/>
  <c r="F10" i="12"/>
  <c r="E10" i="12"/>
  <c r="H9" i="5"/>
  <c r="K9" i="8"/>
  <c r="I9" i="5"/>
  <c r="C10" i="12"/>
  <c r="G9" i="8"/>
  <c r="B10" i="12"/>
  <c r="C9" i="8"/>
  <c r="H10" i="12"/>
  <c r="G10" i="12"/>
  <c r="D9" i="5"/>
  <c r="K10" i="12"/>
  <c r="K9" i="5"/>
  <c r="M10" i="12"/>
  <c r="D9" i="8"/>
  <c r="H9" i="8"/>
  <c r="J10" i="12"/>
  <c r="D10" i="12"/>
  <c r="N10" i="12"/>
  <c r="O10" i="12"/>
  <c r="L10" i="12"/>
  <c r="I10" i="12"/>
  <c r="J9" i="5"/>
  <c r="G9" i="5"/>
  <c r="B9" i="5"/>
  <c r="H10" i="8" l="1"/>
  <c r="H20" i="8" s="1"/>
  <c r="J10" i="8"/>
  <c r="J20" i="8" s="1"/>
  <c r="K10" i="8"/>
  <c r="K20" i="8" s="1"/>
  <c r="G10" i="8"/>
  <c r="G20" i="8" s="1"/>
  <c r="I10" i="8"/>
  <c r="I20" i="8" s="1"/>
  <c r="L10" i="8"/>
  <c r="L20" i="8" s="1"/>
  <c r="B10" i="8"/>
  <c r="B20" i="8" s="1"/>
  <c r="C10" i="8"/>
  <c r="C20" i="8" s="1"/>
  <c r="F10" i="8"/>
  <c r="F20" i="8" s="1"/>
  <c r="D10" i="8"/>
  <c r="D20" i="8" s="1"/>
  <c r="E10" i="8"/>
  <c r="E20" i="8" s="1"/>
  <c r="P11" i="12"/>
  <c r="P21" i="12"/>
  <c r="B11" i="12"/>
  <c r="B21" i="12" s="1"/>
  <c r="H11" i="12"/>
  <c r="H21" i="12" s="1"/>
  <c r="G11" i="12"/>
  <c r="G21" i="12" s="1"/>
  <c r="D11" i="12"/>
  <c r="D21" i="12" s="1"/>
  <c r="O11" i="12"/>
  <c r="E11" i="12"/>
  <c r="N11" i="12"/>
  <c r="N21" i="12" s="1"/>
  <c r="M11" i="12"/>
  <c r="M21" i="12" s="1"/>
  <c r="K11" i="12"/>
  <c r="L11" i="12"/>
  <c r="L21" i="12" s="1"/>
  <c r="F11" i="12"/>
  <c r="J11" i="12"/>
  <c r="I11" i="12"/>
  <c r="I21" i="12" s="1"/>
  <c r="O21" i="12"/>
  <c r="K10" i="5"/>
  <c r="K20" i="5" s="1"/>
  <c r="E10" i="5"/>
  <c r="E20" i="5" s="1"/>
  <c r="G10" i="5"/>
  <c r="G20" i="5" s="1"/>
  <c r="D10" i="5"/>
  <c r="D20" i="5" s="1"/>
  <c r="B10" i="5"/>
  <c r="B20" i="5" s="1"/>
  <c r="I10" i="5"/>
  <c r="I20" i="5" s="1"/>
  <c r="C10" i="5"/>
  <c r="C20" i="5" s="1"/>
  <c r="H10" i="5"/>
  <c r="H20" i="5" s="1"/>
  <c r="F10" i="5"/>
  <c r="F20" i="5" s="1"/>
  <c r="J10" i="5"/>
  <c r="J20" i="5" s="1"/>
  <c r="C11" i="12" l="1"/>
  <c r="C20" i="12" s="1"/>
  <c r="C21" i="12" s="1"/>
  <c r="F21" i="12"/>
  <c r="J21" i="12"/>
  <c r="K21" i="12"/>
  <c r="E2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Do we need index in alarm?</t>
        </r>
      </text>
    </comment>
    <comment ref="G13" authorId="0" shapeId="0" xr:uid="{C3FC3472-7783-49FC-8007-09F401DC99BD}">
      <text>
        <r>
          <rPr>
            <sz val="11"/>
            <color rgb="FF000000"/>
            <rFont val="Calibri"/>
            <family val="2"/>
            <charset val="1"/>
          </rPr>
          <t>Isto len 1 bit?</t>
        </r>
      </text>
    </comment>
    <comment ref="C20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>Is this correct formula?</t>
        </r>
      </text>
    </comment>
    <comment ref="D20" authorId="0" shapeId="0" xr:uid="{00000000-0006-0000-0100-000006000000}">
      <text>
        <r>
          <rPr>
            <sz val="11"/>
            <color rgb="FF000000"/>
            <rFont val="Calibri"/>
            <family val="2"/>
            <charset val="1"/>
          </rPr>
          <t>Is this correct formula?</t>
        </r>
      </text>
    </comment>
    <comment ref="E20" authorId="0" shapeId="0" xr:uid="{00000000-0006-0000-0100-000007000000}">
      <text>
        <r>
          <rPr>
            <sz val="11"/>
            <color rgb="FF000000"/>
            <rFont val="Calibri"/>
            <family val="2"/>
          </rPr>
          <t>Is this correct formula?</t>
        </r>
      </text>
    </comment>
  </commentList>
</comments>
</file>

<file path=xl/sharedStrings.xml><?xml version="1.0" encoding="utf-8"?>
<sst xmlns="http://schemas.openxmlformats.org/spreadsheetml/2006/main" count="381" uniqueCount="152">
  <si>
    <t>This calculator is meant for quick message decoding for MeteoWind IoT wind transmitters that send a bit-shifted string.</t>
  </si>
  <si>
    <t>Input XX byte or longer string (hex) =</t>
  </si>
  <si>
    <t>hex converted to binary =</t>
  </si>
  <si>
    <t>bit shifting string start position =</t>
  </si>
  <si>
    <t>Physical Property Measured =</t>
  </si>
  <si>
    <t>Index</t>
  </si>
  <si>
    <t>converted to binary =</t>
  </si>
  <si>
    <t>converted to decimal =</t>
  </si>
  <si>
    <t>Converted value in output units =</t>
  </si>
  <si>
    <t>bit SUM</t>
  </si>
  <si>
    <t>units</t>
  </si>
  <si>
    <t>n/a</t>
  </si>
  <si>
    <t>V</t>
  </si>
  <si>
    <t>deg</t>
  </si>
  <si>
    <t>binary</t>
  </si>
  <si>
    <t>resolution</t>
  </si>
  <si>
    <t>bits</t>
  </si>
  <si>
    <t>max no. of values</t>
  </si>
  <si>
    <t>min value</t>
  </si>
  <si>
    <t>max value</t>
  </si>
  <si>
    <t>req min value</t>
  </si>
  <si>
    <t>req max value</t>
  </si>
  <si>
    <t>Check</t>
  </si>
  <si>
    <t>FINAL CALCULATED OUTPUT VALUES =</t>
  </si>
  <si>
    <t xml:space="preserve">    Sensor Error or N/A = Maximum possible bit value for each measurand in binary = 111111…. (FFFFF…. In hex) signifies measurement error code.</t>
  </si>
  <si>
    <t>Byte string conversion calculations to binary number format</t>
  </si>
  <si>
    <t xml:space="preserve"> number position in byte string =</t>
  </si>
  <si>
    <t>hex value @ position in byte string =</t>
  </si>
  <si>
    <t>converted to binary value @ position in byte string =</t>
  </si>
  <si>
    <t xml:space="preserve">Copyright©2019 BARANI DESIGN TECHNOLOGIES s.r.o.    </t>
  </si>
  <si>
    <t xml:space="preserve">www.baranidesign.com </t>
  </si>
  <si>
    <t xml:space="preserve">+421 948 067 125    </t>
  </si>
  <si>
    <t>sales@baranidesign.com</t>
  </si>
  <si>
    <t>LoRaWAN Service Message Format: Wireless message bit string verifier calculator</t>
  </si>
  <si>
    <t>c582a1087050904b3114</t>
  </si>
  <si>
    <t>Type</t>
  </si>
  <si>
    <t>Latitude</t>
  </si>
  <si>
    <t>Longitude</t>
  </si>
  <si>
    <t>Fix Status
‘0’=Invalid
‘1’=GNSS fix
‘2’=DGPS fix</t>
  </si>
  <si>
    <t>Number of Satelites</t>
  </si>
  <si>
    <t>HDOP</t>
  </si>
  <si>
    <t>Inclination X</t>
  </si>
  <si>
    <t>Inclination Y</t>
  </si>
  <si>
    <t>Inclination Z</t>
  </si>
  <si>
    <t>status</t>
  </si>
  <si>
    <t>interger</t>
  </si>
  <si>
    <t>meters</t>
  </si>
  <si>
    <t xml:space="preserve">    Latitude = ISO6709 Latitude comes before longitude, North latitude is positive. Accuracy to 5 decimal places (0.00001 = 1.11 m = +/-0.55m)   GPS module mode = GPGGA.</t>
  </si>
  <si>
    <t xml:space="preserve">    Longitude = ISO6709, East longitude is positive. Accuracy to 5 decimal places (0.00001 = 1.11 m = +/-0.55m)      GPS module mode = GPGGA.</t>
  </si>
  <si>
    <t xml:space="preserve">    GPS fix status = ‘0’=Invalid; ‘1’=GNSS fix; ‘2’=DGPS fix.</t>
  </si>
  <si>
    <t xml:space="preserve">    Number of GPS satelites</t>
  </si>
  <si>
    <t xml:space="preserve">    HDOP = Horizontal Dilution of Precision gives the added innacuracy based on geometric location of the satelites.</t>
  </si>
  <si>
    <t>https://stackoverflow.com/questions/35693029/bin2dec-for-numbers-longer-than-10-bits-in-excel</t>
  </si>
  <si>
    <t>https://www.esri.com/news/arcuser/0703/geoid2of3.html</t>
  </si>
  <si>
    <t>{"IsHide":false,"HiddenInExcel":false,"SheetId":-1,"Name":"LoRa MeteoWind 10byte","Guid":"BW3A1M","Index":1,"VisibleRange":"","SheetTheme":{"TabColor":"","BodyColor":"","BodyImage":""},"IsPrintSheet":false}</t>
  </si>
  <si>
    <t>{"ButtonStyle":0,"Name":"","CopyProtect":{"IsEnabled":false,"DomainName":""},"HideSscPoweredlogo":false,"AspnetConfig":{"BrowseUrl":"http://localhost/ssc","FileExtension":0},"NodejsConfig":{"LocalPort":3000},"SmartphoneSettings":{"ViewportLock":true,"UseOldViewEngine":false,"EnableZoom":false,"EnableSwipe":false,"HideToolbar":false,"InheritBackgroundColor":false,"CheckboxFlavor":1,"ShowBubble":false},"SmartphoneTheme":1,"Theme":{"BgColor":"#FFFFFFFF","BgImage":"","InputBorderStyle":2},"Layout":0,"LayoutConfig":{"IsSamePagesHeight":false},"Toolbar":{"Position":1,"IsSubmit":true,"IsPrint":true,"IsPrintAll":false,"IsReset":true,"IsUpdate":true},"InputDetection":0,"ConfigureSubmit":{"IsShowCaptcha":false,"IsUseSscWebServer":true,"ReceiverCode":"jan@baranidesign.com","IsFreeService":false,"IsAdvanceService":true,"IsSecureEmail":false,"IsDemonstrationService":false,"AfterSuccessfulSubmit":"","AfterFailSubmit":"","AfterCancelWizard":"","IsUseOwnWebServer":false,"OwnWebServerURL":"","OwnWebServerTarget":"","SubmitTarget":0},"Flavor":0,"Edition":3,"IgnoreBgInputCell":false,"LiveShare":{"Enable":true},"ResponsiveDesignSetting":{"Disabled":false},"WbUtil":{"EnableBs":true}}</t>
  </si>
  <si>
    <t>{"Captcha":{"Heading":"Enter the number displayed below.","Message":"This is to verify that you are a human visitor, to prevent automated form submissions.","OkButton":"OK","CancelButton":"Cancel","ErrorMessage":"Your answer is incorrect, please try again."},"RequiredField":{"ErrorMessage":"The fields with the red border are required.","OkButton":"OK","DDLDefaultRequiredText":"Please Select"},"WizardButton":{"Next":"Next","Previous":"Previous","Cancel":"Cancel","Finish":"Finish"},"ToolbarButton":{"Submit":"Submit","Print":"Print","PrintAll":"Print All","Reset":"Reset","Update":"Update","Back":"Back"},"BrowserAndLocation":{"Browsers":[{"Name":"chrome.exe"},{"Name":"firefox.exe"}],"ConversionPath":"C:\\Users\\baranij\\Downloads"},"AdvancedSettingsModels":[],"Dropbox":{"AccessToken":"","AccessSecret":""},"SpreadsheetServer":{"Username":"","Password":"","ServerUrl":""},"ConfigureSubmitDefault":{"Email":"jan@baranidesign.com"},"MessageBubble":{"Close":false,"TopMsg":0},"CustomizeTheme":{"Theme":""},"QrSetting":{"ShowOnConversion":true},"CongratsPage":{"LastOpenedVersion":""},"LocalWebServer":{"Port":"8888"},"SubmitDialog":{"SubmitDialogHeading":"Submit Successful.","SubmitDialogDesc":"The form was successfully submitted.","BeforeSubmitDesc":"The form is being submitted.","OfflineHeading":"Save until online","OfflineDesc":"You are currently offline and the submit failed. Do you want to save the submit and send it later when you are online.","OfflineConfirm":"Do you want to save?","OfflineSubmitHeading":"Offline forms submit confirmation","OfflineSubmitDesc":"There are Offline form(s), which are now ready to submit in server.","OfflineSubmitConfirm":"Do you want to submit?","FailOfflineHeading":"Offline Form submit failed","FailOfflineDesc":"Unable to connect to the Internet. Please try submitting the offline forms later in internet connection.","OfflineSubmitWait":"It may take sometime to finish all submits depending on the size of offline forms and internet connection.","OfflineSubmitWaitCounter":"Left","OfflineSubmitError":"Submit error: Please try later."}}</t>
  </si>
  <si>
    <t>{"IsHide":false,"HiddenInExcel":false,"SheetId":-1,"Name":"LoRa MeteoWind Alarm","Guid":"539KQM","Index":2,"VisibleRange":"","SheetTheme":{"TabColor":"","BodyColor":"","BodyImage":""},"IsPrintSheet":false}</t>
  </si>
  <si>
    <t>{"IsHide":false,"HiddenInExcel":false,"SheetId":-1,"Name":"Short MeteoWind 8byte","Guid":"B0IZRQ","Index":3,"VisibleRange":"","SheetTheme":{"TabColor":"","BodyColor":"","BodyImage":""},"IsPrintSheet":false}</t>
  </si>
  <si>
    <t>{"IsHide":false,"HiddenInExcel":false,"SheetId":-1,"Name":"Sheet2","Guid":"QEB9DQ","Index":4,"VisibleRange":"","SheetTheme":{"TabColor":"","BodyColor":"","BodyImage":""},"IsPrintSheet":false}</t>
  </si>
  <si>
    <t>{"IsHide":false,"HiddenInExcel":false,"SheetId":-1,"Name":"SIgfox MeteoWind Alarm 4byte","Guid":"VHQ6XP","Index":5,"VisibleRange":"","SheetTheme":{"TabColor":"","BodyColor":"","BodyImage":""},"IsPrintSheet":false}</t>
  </si>
  <si>
    <t>Debug Flags</t>
  </si>
  <si>
    <r>
      <t xml:space="preserve">    </t>
    </r>
    <r>
      <rPr>
        <b/>
        <sz val="11"/>
        <color rgb="FFFF0000"/>
        <rFont val="Calibri"/>
        <family val="2"/>
      </rPr>
      <t xml:space="preserve">Alarm sent </t>
    </r>
    <r>
      <rPr>
        <sz val="11"/>
        <color rgb="FFFF0000"/>
        <rFont val="Calibri"/>
        <family val="2"/>
        <charset val="1"/>
      </rPr>
      <t>value indicates whether alarm was activated during the current time interval, alarm was not sent during the last regular message sending interval=0(default), at least one alarm was sent during the last interval =1.</t>
    </r>
  </si>
  <si>
    <t>https://stackoverflow.com/questions/46962288/change-longitude-from-180-to-180-to-0-to-360</t>
  </si>
  <si>
    <t>Conversion ALGORITHM:</t>
  </si>
  <si>
    <t xml:space="preserve">    Accelerometer Average Inclination in Y - treba vynulovat vo vyrobe ked sa napaluje, nech je v horizontalnej polohe</t>
  </si>
  <si>
    <t xml:space="preserve">    Accelerometer Average Inclination in Z - treba vynulovat vo vyrobe ked sa napaluje, nech je v horizontalnej polohe</t>
  </si>
  <si>
    <r>
      <t xml:space="preserve">    Accelerometer Average Inclination in X - </t>
    </r>
    <r>
      <rPr>
        <b/>
        <sz val="11"/>
        <color rgb="FFFF0000"/>
        <rFont val="Calibri"/>
        <family val="2"/>
      </rPr>
      <t>treba vynulovat vo vyrobe ked sa napaluje, nech je v horizontalnej polohe</t>
    </r>
  </si>
  <si>
    <t>This calculator is mean for quick message string payload decoding for MeteoHelix IoT micro weather stations that send a bit-shifted string.</t>
  </si>
  <si>
    <t>OPEN PROTOCOL START BIT (Type) = 1</t>
  </si>
  <si>
    <t>Input 12 byte string (hex) =</t>
  </si>
  <si>
    <t>Battery</t>
  </si>
  <si>
    <t>Temperature</t>
  </si>
  <si>
    <t>T_min</t>
  </si>
  <si>
    <t>T_max</t>
  </si>
  <si>
    <t>Humidity</t>
  </si>
  <si>
    <t>Pressure</t>
  </si>
  <si>
    <t>Irradiation</t>
  </si>
  <si>
    <t>Irr_max</t>
  </si>
  <si>
    <t>%</t>
  </si>
  <si>
    <t>Pa</t>
  </si>
  <si>
    <t>W/m2</t>
  </si>
  <si>
    <t xml:space="preserve">Copyright©2018 BARANI DESIGN TECHNOLOGIES s.r.o.    </t>
  </si>
  <si>
    <t>Irr_min</t>
  </si>
  <si>
    <t>Rain Intensity Correction 
to Rain Clicks 
(revolving counter)</t>
  </si>
  <si>
    <t>Rain Clicks 
(revolving counter)</t>
  </si>
  <si>
    <t>Solar Serial number</t>
  </si>
  <si>
    <t>°C</t>
  </si>
  <si>
    <t>Humidity_min</t>
  </si>
  <si>
    <t>Pressure_max</t>
  </si>
  <si>
    <t>Pressure_min</t>
  </si>
  <si>
    <t>Humidity_max</t>
  </si>
  <si>
    <r>
      <t xml:space="preserve">    Message counter revolving 0 to 63</t>
    </r>
    <r>
      <rPr>
        <b/>
        <sz val="11"/>
        <color rgb="FFFF0000"/>
        <rFont val="Calibri"/>
        <family val="2"/>
      </rPr>
      <t xml:space="preserve"> is independent of regular 10min message index.</t>
    </r>
  </si>
  <si>
    <t>clicks/pulses 
(multiply by rain gauge resolution)</t>
  </si>
  <si>
    <t>Debug_Flags</t>
  </si>
  <si>
    <r>
      <t xml:space="preserve">    Debug_Flags </t>
    </r>
    <r>
      <rPr>
        <sz val="11"/>
        <color rgb="FFFF0000"/>
        <rFont val="Calibri"/>
        <family val="2"/>
      </rPr>
      <t>binary flag indicates whether an error apeared in any of the measurements sent in the alarm</t>
    </r>
    <r>
      <rPr>
        <b/>
        <sz val="11"/>
        <color rgb="FFFF0000"/>
        <rFont val="Calibri"/>
        <family val="2"/>
        <charset val="1"/>
      </rPr>
      <t xml:space="preserve">,  </t>
    </r>
    <r>
      <rPr>
        <sz val="11"/>
        <color rgb="FFFF0000"/>
        <rFont val="Calibri"/>
        <family val="2"/>
      </rPr>
      <t>No=0(default), Yes: 1.</t>
    </r>
  </si>
  <si>
    <t xml:space="preserve">    ALL VALUES are absolute numbers (do NOT get subtracted or added to any other reading).</t>
  </si>
  <si>
    <t>Hardware type</t>
  </si>
  <si>
    <t>Major Firmware revision</t>
  </si>
  <si>
    <t>Minor Firmware revision</t>
  </si>
  <si>
    <t>Patch Firmware revision</t>
  </si>
  <si>
    <t>Major Firmware revision = 0…8     Example Firmware versioning like "0.03.009"</t>
  </si>
  <si>
    <t>Minor Firmware revision = 0…255</t>
  </si>
  <si>
    <t>Patch Firmware revision = 0…256</t>
  </si>
  <si>
    <t>Sensor serial number = SHT45 unique serial number to identify the sensor board on the MeteoHelix</t>
  </si>
  <si>
    <t>Solar Serial Number = unique serial number of a callibrated solar panel</t>
  </si>
  <si>
    <t>MeteoHelix IoT message format</t>
  </si>
  <si>
    <t xml:space="preserve">MeteoWind IoT message format </t>
  </si>
  <si>
    <t xml:space="preserve">MeteoWind IoT ALARM message format </t>
  </si>
  <si>
    <t>seconds</t>
  </si>
  <si>
    <t>All Alarms Snooze</t>
  </si>
  <si>
    <r>
      <t xml:space="preserve">Time Interval </t>
    </r>
    <r>
      <rPr>
        <b/>
        <sz val="11"/>
        <color rgb="FFFF0000"/>
        <rFont val="Calibri"/>
        <family val="2"/>
        <scheme val="minor"/>
      </rPr>
      <t>SQUARED (SQRT)</t>
    </r>
    <r>
      <rPr>
        <b/>
        <sz val="11"/>
        <color theme="1"/>
        <rFont val="Calibri"/>
        <family val="2"/>
        <scheme val="minor"/>
      </rPr>
      <t xml:space="preserve">
(min time interval between successive pulses)</t>
    </r>
  </si>
  <si>
    <t>Pascal</t>
  </si>
  <si>
    <t>C</t>
  </si>
  <si>
    <t>Debug flags</t>
  </si>
  <si>
    <r>
      <t xml:space="preserve">Time Interval 
</t>
    </r>
    <r>
      <rPr>
        <b/>
        <sz val="11"/>
        <color rgb="FFFF0000"/>
        <rFont val="Calibri"/>
        <family val="2"/>
        <scheme val="minor"/>
      </rPr>
      <t>SQUARED (SQRT)</t>
    </r>
    <r>
      <rPr>
        <b/>
        <sz val="11"/>
        <color theme="1"/>
        <rFont val="Calibri"/>
        <family val="2"/>
        <scheme val="minor"/>
      </rPr>
      <t xml:space="preserve">
(min time interval between successive pulses)</t>
    </r>
  </si>
  <si>
    <t>Temperature_max</t>
  </si>
  <si>
    <t>Temperature_min</t>
  </si>
  <si>
    <t>Temperature 
Hi or Low or Both Alarm</t>
  </si>
  <si>
    <t>Relative Humidity 
Hi or Low or Both Alarm</t>
  </si>
  <si>
    <t>Barometric Pressure
Hi or Low or Both Alarm</t>
  </si>
  <si>
    <t xml:space="preserve">Temperature
Current Instantaneous </t>
  </si>
  <si>
    <t xml:space="preserve">Humidity
Current Instantaneous </t>
  </si>
  <si>
    <t xml:space="preserve">Pressure
Current Instantaneous </t>
  </si>
  <si>
    <t xml:space="preserve">Irradiation
Current Instantaneous </t>
  </si>
  <si>
    <t>Alarm_type</t>
  </si>
  <si>
    <t>20231031  MeteoHelix IoT LoRaWAN ALARM</t>
  </si>
  <si>
    <t>Sensor_head serial number</t>
  </si>
  <si>
    <t>728/seconds^0.5</t>
  </si>
  <si>
    <r>
      <t xml:space="preserve">    </t>
    </r>
    <r>
      <rPr>
        <b/>
        <sz val="11"/>
        <color rgb="FFFF0000"/>
        <rFont val="Calibri"/>
        <family val="2"/>
        <scheme val="minor"/>
      </rPr>
      <t>Time Interval SQUARED</t>
    </r>
    <r>
      <rPr>
        <sz val="11"/>
        <color rgb="FFFF0000"/>
        <rFont val="Calibri"/>
        <family val="2"/>
        <scheme val="minor"/>
      </rPr>
      <t xml:space="preserve"> = Minimum time between clicks is the minimum elapsed time between 2 successive rain gauge tipping bucket mechanism signals. It is sent as 728/time^2. It is used to determine the maximum instantaneous rain rate. (Rain gauge resolution divided by Minimum time between clicks results Rain rate.)</t>
    </r>
  </si>
  <si>
    <t xml:space="preserve">Minimum time between clicks is the minimum elapsed time between 2 successive rain gauge tipping bucket mechanism signals. It is sent as 728/time^2. It is used to determine the maximum instantaneous rain rate. (Rain gauge resolution divided by Minimum time between clicks results Rain rate.) </t>
  </si>
  <si>
    <t>FINAL CALCULLATION:</t>
  </si>
  <si>
    <t>c582a1087050</t>
  </si>
  <si>
    <t>00D098CB914040008360</t>
  </si>
  <si>
    <t>803DC99500320000FFFCB000</t>
  </si>
  <si>
    <t>ALARM TYPE</t>
  </si>
  <si>
    <t>0 = TEMPERATURE, 1 = HUMIDITY, 2 = PRESSURE , 3 = RAIN</t>
  </si>
  <si>
    <t>DEV ADDR0</t>
  </si>
  <si>
    <t>DEV ADDR1</t>
  </si>
  <si>
    <t>DEV ADDR2</t>
  </si>
  <si>
    <t>DEV ADDR3</t>
  </si>
  <si>
    <t>20241815 For Tier 2 Meteorological weather stations for Met Offices</t>
  </si>
  <si>
    <t>Message counter revolving 0 to 255 is the regular 10min message index.</t>
  </si>
  <si>
    <t>T_max &amp; Tmin values are added &amp; Subtracted from the Temperature reading which is the 10min average of 10sec measurements.</t>
  </si>
  <si>
    <t>Irr_max &amp; Irr_min values are absolute numbers (do NOT get subtracted or added to the Irradiation reading).</t>
  </si>
  <si>
    <t>Hardware type - 0=test, 1=MeteoHelix, 2=MeteoWind, 3=MeteoRain, 4=MeteoAG, …</t>
  </si>
  <si>
    <t>This calculator is meant for quick message decoding for MeteoHelix IoT wind transmitters that send a bit-shifted string.</t>
  </si>
  <si>
    <t xml:space="preserve">Meteohelix IoT message format </t>
  </si>
  <si>
    <t>03419471FEE7D8D40000000000000002</t>
  </si>
  <si>
    <t>Alarm sent</t>
  </si>
  <si>
    <t>Heater activated</t>
  </si>
  <si>
    <t>4242101135E7320000002700BE55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</si>
</sst>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st bit&quot;"/>
    <numFmt numFmtId="165" formatCode="0&quot;th bit&quot;"/>
    <numFmt numFmtId="166" formatCode="0&quot; bits&quot;"/>
    <numFmt numFmtId="167" formatCode="0.00&quot; bytes&quot;"/>
    <numFmt numFmtId="168" formatCode="0.0"/>
    <numFmt numFmtId="169" formatCode="0.000\ &quot;seconds&quot;"/>
  </numFmts>
  <fonts count="4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A6A6A6"/>
      <name val="Calibri"/>
      <family val="2"/>
      <charset val="1"/>
    </font>
    <font>
      <b/>
      <sz val="11"/>
      <color rgb="FF0070C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808080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A6A6A6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  <charset val="1"/>
    </font>
    <font>
      <sz val="11"/>
      <color rgb="FFFF0000"/>
      <name val="Calibri"/>
      <family val="2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8"/>
      <name val="Calibri"/>
      <family val="2"/>
      <charset val="1"/>
    </font>
    <font>
      <sz val="11"/>
      <color rgb="FF0070C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C0C0C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7" fillId="0" borderId="0" applyBorder="0" applyProtection="0"/>
    <xf numFmtId="0" fontId="3" fillId="0" borderId="0"/>
    <xf numFmtId="0" fontId="26" fillId="0" borderId="0" applyNumberFormat="0" applyFill="0" applyBorder="0" applyAlignment="0" applyProtection="0"/>
    <xf numFmtId="0" fontId="2" fillId="0" borderId="0"/>
    <xf numFmtId="0" fontId="41" fillId="0" borderId="0"/>
    <xf numFmtId="0" fontId="1" fillId="0" borderId="0"/>
  </cellStyleXfs>
  <cellXfs count="228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12" fillId="2" borderId="6" xfId="0" applyNumberFormat="1" applyFont="1" applyFill="1" applyBorder="1" applyAlignment="1">
      <alignment horizontal="center" vertical="center"/>
    </xf>
    <xf numFmtId="166" fontId="0" fillId="2" borderId="6" xfId="0" applyNumberFormat="1" applyFill="1" applyBorder="1" applyAlignment="1">
      <alignment horizontal="center" vertical="center"/>
    </xf>
    <xf numFmtId="166" fontId="4" fillId="2" borderId="6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1" fontId="14" fillId="0" borderId="6" xfId="0" applyNumberFormat="1" applyFont="1" applyBorder="1" applyAlignment="1">
      <alignment horizontal="center" vertical="center"/>
    </xf>
    <xf numFmtId="166" fontId="14" fillId="2" borderId="6" xfId="0" applyNumberFormat="1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7" fontId="0" fillId="2" borderId="8" xfId="0" applyNumberFormat="1" applyFill="1" applyBorder="1" applyAlignment="1">
      <alignment horizontal="center" vertical="center"/>
    </xf>
    <xf numFmtId="0" fontId="17" fillId="0" borderId="0" xfId="1"/>
    <xf numFmtId="0" fontId="23" fillId="0" borderId="0" xfId="0" applyFont="1" applyAlignment="1">
      <alignment horizontal="right" vertical="center"/>
    </xf>
    <xf numFmtId="0" fontId="3" fillId="0" borderId="0" xfId="2" applyAlignment="1">
      <alignment horizontal="center" vertical="center"/>
    </xf>
    <xf numFmtId="0" fontId="32" fillId="0" borderId="4" xfId="2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0" fontId="25" fillId="8" borderId="1" xfId="2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43" fillId="8" borderId="4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166" fontId="0" fillId="9" borderId="6" xfId="0" applyNumberFormat="1" applyFill="1" applyBorder="1" applyAlignment="1">
      <alignment horizontal="center" vertical="center"/>
    </xf>
    <xf numFmtId="1" fontId="14" fillId="8" borderId="6" xfId="0" applyNumberFormat="1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168" fontId="14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2" applyFont="1" applyAlignment="1" applyProtection="1">
      <alignment vertical="center"/>
    </xf>
    <xf numFmtId="0" fontId="3" fillId="0" borderId="0" xfId="2" applyAlignment="1" applyProtection="1">
      <alignment vertical="center"/>
    </xf>
    <xf numFmtId="0" fontId="3" fillId="0" borderId="0" xfId="2" applyAlignment="1" applyProtection="1">
      <alignment horizontal="center" vertical="center"/>
    </xf>
    <xf numFmtId="0" fontId="30" fillId="0" borderId="0" xfId="2" applyFont="1" applyAlignment="1" applyProtection="1">
      <alignment horizontal="right" vertical="center"/>
    </xf>
    <xf numFmtId="0" fontId="3" fillId="0" borderId="0" xfId="2" applyAlignment="1" applyProtection="1">
      <alignment horizontal="left" vertical="center"/>
    </xf>
    <xf numFmtId="164" fontId="22" fillId="0" borderId="1" xfId="2" applyNumberFormat="1" applyFont="1" applyBorder="1" applyAlignment="1" applyProtection="1">
      <alignment horizontal="center" vertical="center"/>
    </xf>
    <xf numFmtId="165" fontId="22" fillId="0" borderId="1" xfId="2" applyNumberFormat="1" applyFont="1" applyBorder="1" applyAlignment="1" applyProtection="1">
      <alignment horizontal="center" vertical="center"/>
    </xf>
    <xf numFmtId="165" fontId="22" fillId="0" borderId="1" xfId="0" applyNumberFormat="1" applyFont="1" applyBorder="1" applyAlignment="1" applyProtection="1">
      <alignment horizontal="center" vertical="center"/>
    </xf>
    <xf numFmtId="0" fontId="3" fillId="5" borderId="0" xfId="2" applyFill="1" applyAlignment="1" applyProtection="1">
      <alignment horizontal="center" vertical="center"/>
    </xf>
    <xf numFmtId="0" fontId="25" fillId="0" borderId="1" xfId="2" applyFont="1" applyBorder="1" applyAlignment="1" applyProtection="1">
      <alignment horizontal="center" vertical="center"/>
    </xf>
    <xf numFmtId="0" fontId="25" fillId="0" borderId="1" xfId="0" applyFont="1" applyBorder="1" applyAlignment="1" applyProtection="1">
      <alignment horizontal="center" vertical="center" wrapText="1"/>
    </xf>
    <xf numFmtId="0" fontId="25" fillId="0" borderId="0" xfId="0" applyFont="1" applyBorder="1" applyAlignment="1" applyProtection="1">
      <alignment horizontal="center" vertical="center" wrapText="1"/>
    </xf>
    <xf numFmtId="0" fontId="22" fillId="0" borderId="1" xfId="2" applyFont="1" applyBorder="1" applyAlignment="1" applyProtection="1">
      <alignment horizontal="center" vertical="center"/>
    </xf>
    <xf numFmtId="0" fontId="22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25" fillId="0" borderId="0" xfId="2" applyFont="1" applyAlignment="1" applyProtection="1">
      <alignment horizontal="left" vertical="center"/>
    </xf>
    <xf numFmtId="0" fontId="32" fillId="0" borderId="2" xfId="2" applyFont="1" applyBorder="1" applyAlignment="1" applyProtection="1">
      <alignment horizontal="center" vertical="center"/>
    </xf>
    <xf numFmtId="0" fontId="32" fillId="7" borderId="2" xfId="2" applyFont="1" applyFill="1" applyBorder="1" applyAlignment="1" applyProtection="1">
      <alignment horizontal="center" vertical="center"/>
    </xf>
    <xf numFmtId="2" fontId="32" fillId="0" borderId="2" xfId="2" applyNumberFormat="1" applyFont="1" applyBorder="1" applyAlignment="1" applyProtection="1">
      <alignment horizontal="center" vertical="center"/>
    </xf>
    <xf numFmtId="0" fontId="32" fillId="0" borderId="2" xfId="0" applyFont="1" applyBorder="1" applyAlignment="1" applyProtection="1">
      <alignment horizontal="center" vertical="center"/>
    </xf>
    <xf numFmtId="0" fontId="32" fillId="5" borderId="0" xfId="2" applyFont="1" applyFill="1" applyAlignment="1" applyProtection="1">
      <alignment horizontal="center" vertical="center"/>
    </xf>
    <xf numFmtId="0" fontId="25" fillId="0" borderId="3" xfId="2" applyFont="1" applyBorder="1" applyAlignment="1" applyProtection="1">
      <alignment horizontal="left" vertical="center"/>
    </xf>
    <xf numFmtId="0" fontId="32" fillId="0" borderId="4" xfId="2" applyFont="1" applyBorder="1" applyAlignment="1" applyProtection="1">
      <alignment horizontal="center" vertical="center"/>
    </xf>
    <xf numFmtId="0" fontId="38" fillId="0" borderId="4" xfId="0" applyFont="1" applyBorder="1" applyAlignment="1" applyProtection="1">
      <alignment horizontal="center" vertical="center" wrapText="1"/>
    </xf>
    <xf numFmtId="0" fontId="38" fillId="0" borderId="4" xfId="0" applyFont="1" applyBorder="1" applyAlignment="1" applyProtection="1">
      <alignment horizontal="center" vertical="center"/>
    </xf>
    <xf numFmtId="0" fontId="32" fillId="5" borderId="4" xfId="2" applyFont="1" applyFill="1" applyBorder="1" applyAlignment="1" applyProtection="1">
      <alignment horizontal="center" vertical="center"/>
    </xf>
    <xf numFmtId="0" fontId="25" fillId="0" borderId="5" xfId="2" applyFont="1" applyBorder="1" applyAlignment="1" applyProtection="1">
      <alignment horizontal="left" vertical="center"/>
    </xf>
    <xf numFmtId="0" fontId="3" fillId="0" borderId="6" xfId="2" applyBorder="1" applyAlignment="1" applyProtection="1">
      <alignment horizontal="center" vertical="center"/>
    </xf>
    <xf numFmtId="0" fontId="29" fillId="0" borderId="6" xfId="2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25" fillId="5" borderId="6" xfId="2" applyFont="1" applyFill="1" applyBorder="1" applyAlignment="1" applyProtection="1">
      <alignment horizontal="center" vertical="center"/>
    </xf>
    <xf numFmtId="0" fontId="25" fillId="6" borderId="5" xfId="2" applyFont="1" applyFill="1" applyBorder="1" applyAlignment="1" applyProtection="1">
      <alignment horizontal="left" vertical="center"/>
    </xf>
    <xf numFmtId="166" fontId="24" fillId="6" borderId="6" xfId="2" applyNumberFormat="1" applyFont="1" applyFill="1" applyBorder="1" applyAlignment="1" applyProtection="1">
      <alignment horizontal="center" vertical="center"/>
    </xf>
    <xf numFmtId="166" fontId="3" fillId="6" borderId="6" xfId="2" applyNumberFormat="1" applyFill="1" applyBorder="1" applyAlignment="1" applyProtection="1">
      <alignment horizontal="center" vertical="center"/>
    </xf>
    <xf numFmtId="166" fontId="25" fillId="5" borderId="6" xfId="2" applyNumberFormat="1" applyFont="1" applyFill="1" applyBorder="1" applyAlignment="1" applyProtection="1">
      <alignment horizontal="center" vertical="center"/>
    </xf>
    <xf numFmtId="166" fontId="3" fillId="6" borderId="0" xfId="2" applyNumberFormat="1" applyFill="1" applyAlignment="1" applyProtection="1">
      <alignment horizontal="center" vertical="center"/>
    </xf>
    <xf numFmtId="0" fontId="3" fillId="6" borderId="0" xfId="2" applyFill="1" applyAlignment="1" applyProtection="1">
      <alignment horizontal="center" vertical="center"/>
    </xf>
    <xf numFmtId="0" fontId="33" fillId="0" borderId="5" xfId="2" applyFont="1" applyBorder="1" applyAlignment="1" applyProtection="1">
      <alignment horizontal="left" vertical="center"/>
    </xf>
    <xf numFmtId="1" fontId="34" fillId="0" borderId="6" xfId="2" applyNumberFormat="1" applyFont="1" applyBorder="1" applyAlignment="1" applyProtection="1">
      <alignment horizontal="center" vertical="center"/>
    </xf>
    <xf numFmtId="1" fontId="34" fillId="0" borderId="6" xfId="0" applyNumberFormat="1" applyFont="1" applyBorder="1" applyAlignment="1" applyProtection="1">
      <alignment horizontal="center" vertical="center"/>
    </xf>
    <xf numFmtId="166" fontId="34" fillId="5" borderId="6" xfId="2" applyNumberFormat="1" applyFont="1" applyFill="1" applyBorder="1" applyAlignment="1" applyProtection="1">
      <alignment horizontal="center" vertical="center"/>
    </xf>
    <xf numFmtId="1" fontId="34" fillId="0" borderId="0" xfId="2" applyNumberFormat="1" applyFont="1" applyAlignment="1" applyProtection="1">
      <alignment horizontal="center" vertical="center"/>
    </xf>
    <xf numFmtId="0" fontId="34" fillId="0" borderId="0" xfId="2" applyFont="1" applyAlignment="1" applyProtection="1">
      <alignment horizontal="center" vertical="center"/>
    </xf>
    <xf numFmtId="0" fontId="40" fillId="0" borderId="6" xfId="2" applyFont="1" applyBorder="1" applyAlignment="1" applyProtection="1">
      <alignment horizontal="center" vertical="center"/>
    </xf>
    <xf numFmtId="0" fontId="34" fillId="0" borderId="6" xfId="2" applyFont="1" applyBorder="1" applyAlignment="1" applyProtection="1">
      <alignment horizontal="center" vertical="center"/>
    </xf>
    <xf numFmtId="0" fontId="34" fillId="0" borderId="6" xfId="0" applyFont="1" applyBorder="1" applyAlignment="1" applyProtection="1">
      <alignment horizontal="center" vertical="center"/>
    </xf>
    <xf numFmtId="0" fontId="33" fillId="0" borderId="7" xfId="2" applyFont="1" applyBorder="1" applyAlignment="1" applyProtection="1">
      <alignment horizontal="left" vertical="center"/>
    </xf>
    <xf numFmtId="0" fontId="3" fillId="0" borderId="8" xfId="2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2" borderId="8" xfId="0" applyFill="1" applyBorder="1" applyAlignment="1" applyProtection="1">
      <alignment horizontal="center" vertical="center"/>
    </xf>
    <xf numFmtId="167" fontId="0" fillId="0" borderId="0" xfId="0" applyNumberFormat="1" applyAlignment="1" applyProtection="1">
      <alignment horizontal="center" vertical="center"/>
    </xf>
    <xf numFmtId="0" fontId="25" fillId="0" borderId="9" xfId="2" applyFont="1" applyBorder="1" applyAlignment="1" applyProtection="1">
      <alignment horizontal="center" vertical="center"/>
    </xf>
    <xf numFmtId="0" fontId="25" fillId="0" borderId="9" xfId="0" applyFont="1" applyBorder="1" applyAlignment="1" applyProtection="1">
      <alignment horizontal="center" vertical="center"/>
    </xf>
    <xf numFmtId="0" fontId="3" fillId="5" borderId="9" xfId="2" applyFill="1" applyBorder="1" applyAlignment="1" applyProtection="1">
      <alignment horizontal="center" vertical="center"/>
    </xf>
    <xf numFmtId="0" fontId="45" fillId="0" borderId="0" xfId="6" applyFont="1" applyAlignment="1" applyProtection="1">
      <alignment horizontal="center" vertical="center"/>
    </xf>
    <xf numFmtId="0" fontId="45" fillId="7" borderId="0" xfId="6" applyFont="1" applyFill="1" applyAlignment="1" applyProtection="1">
      <alignment horizontal="center" vertical="center"/>
    </xf>
    <xf numFmtId="0" fontId="45" fillId="7" borderId="0" xfId="0" applyFont="1" applyFill="1" applyAlignment="1" applyProtection="1">
      <alignment horizontal="center" vertical="center"/>
    </xf>
    <xf numFmtId="169" fontId="45" fillId="7" borderId="0" xfId="0" applyNumberFormat="1" applyFont="1" applyFill="1" applyAlignment="1" applyProtection="1">
      <alignment horizontal="center" vertical="center"/>
    </xf>
    <xf numFmtId="0" fontId="42" fillId="5" borderId="0" xfId="6" applyFont="1" applyFill="1" applyAlignment="1" applyProtection="1">
      <alignment horizontal="center" vertical="center"/>
    </xf>
    <xf numFmtId="0" fontId="42" fillId="0" borderId="0" xfId="6" applyFont="1" applyAlignment="1" applyProtection="1">
      <alignment horizontal="center" vertical="center"/>
    </xf>
    <xf numFmtId="0" fontId="44" fillId="0" borderId="0" xfId="6" applyFont="1" applyAlignment="1" applyProtection="1">
      <alignment horizontal="center" vertical="center"/>
    </xf>
    <xf numFmtId="0" fontId="24" fillId="0" borderId="0" xfId="2" applyFont="1" applyAlignment="1" applyProtection="1">
      <alignment horizontal="left" vertical="center"/>
    </xf>
    <xf numFmtId="0" fontId="35" fillId="0" borderId="0" xfId="2" applyFont="1" applyAlignment="1" applyProtection="1">
      <alignment vertical="center"/>
    </xf>
    <xf numFmtId="0" fontId="35" fillId="0" borderId="0" xfId="2" applyFont="1" applyAlignment="1" applyProtection="1">
      <alignment horizontal="left" vertical="center"/>
    </xf>
    <xf numFmtId="0" fontId="25" fillId="0" borderId="0" xfId="2" applyFont="1" applyAlignment="1" applyProtection="1">
      <alignment horizontal="center" vertical="center"/>
    </xf>
    <xf numFmtId="0" fontId="22" fillId="0" borderId="0" xfId="2" applyFont="1" applyAlignment="1" applyProtection="1">
      <alignment horizontal="left" vertical="center"/>
    </xf>
    <xf numFmtId="0" fontId="22" fillId="0" borderId="0" xfId="2" applyFont="1" applyAlignment="1" applyProtection="1">
      <alignment horizontal="center" vertical="center"/>
    </xf>
    <xf numFmtId="2" fontId="22" fillId="0" borderId="0" xfId="2" applyNumberFormat="1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6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vertical="center"/>
    </xf>
    <xf numFmtId="2" fontId="7" fillId="0" borderId="0" xfId="0" applyNumberFormat="1" applyFont="1" applyAlignment="1" applyProtection="1">
      <alignment vertical="center"/>
    </xf>
    <xf numFmtId="0" fontId="8" fillId="0" borderId="0" xfId="0" applyFont="1" applyAlignment="1" applyProtection="1">
      <alignment horizontal="right" vertical="center"/>
    </xf>
    <xf numFmtId="0" fontId="9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164" fontId="10" fillId="0" borderId="1" xfId="0" applyNumberFormat="1" applyFont="1" applyBorder="1" applyAlignment="1" applyProtection="1">
      <alignment horizontal="center" vertical="center"/>
    </xf>
    <xf numFmtId="165" fontId="10" fillId="0" borderId="1" xfId="0" applyNumberFormat="1" applyFont="1" applyBorder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25" fillId="0" borderId="1" xfId="2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left" vertical="center"/>
    </xf>
    <xf numFmtId="0" fontId="11" fillId="0" borderId="2" xfId="0" applyFont="1" applyBorder="1" applyAlignment="1" applyProtection="1">
      <alignment horizontal="center" vertical="center"/>
    </xf>
    <xf numFmtId="0" fontId="11" fillId="2" borderId="0" xfId="0" applyFont="1" applyFill="1" applyAlignment="1" applyProtection="1">
      <alignment horizontal="center" vertical="center"/>
    </xf>
    <xf numFmtId="0" fontId="4" fillId="0" borderId="3" xfId="0" applyFont="1" applyBorder="1" applyAlignment="1" applyProtection="1">
      <alignment horizontal="left" vertical="center"/>
    </xf>
    <xf numFmtId="0" fontId="9" fillId="0" borderId="4" xfId="0" applyFont="1" applyBorder="1" applyAlignment="1" applyProtection="1">
      <alignment horizontal="center" vertical="center"/>
    </xf>
    <xf numFmtId="0" fontId="29" fillId="0" borderId="4" xfId="0" applyFont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left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horizontal="left" vertical="center"/>
    </xf>
    <xf numFmtId="166" fontId="12" fillId="2" borderId="6" xfId="0" applyNumberFormat="1" applyFont="1" applyFill="1" applyBorder="1" applyAlignment="1" applyProtection="1">
      <alignment horizontal="center" vertical="center"/>
    </xf>
    <xf numFmtId="166" fontId="0" fillId="2" borderId="6" xfId="0" applyNumberFormat="1" applyFill="1" applyBorder="1" applyAlignment="1" applyProtection="1">
      <alignment horizontal="center" vertical="center"/>
    </xf>
    <xf numFmtId="166" fontId="20" fillId="2" borderId="6" xfId="0" applyNumberFormat="1" applyFont="1" applyFill="1" applyBorder="1" applyAlignment="1" applyProtection="1">
      <alignment horizontal="center" vertical="center"/>
    </xf>
    <xf numFmtId="166" fontId="4" fillId="2" borderId="6" xfId="0" applyNumberFormat="1" applyFont="1" applyFill="1" applyBorder="1" applyAlignment="1" applyProtection="1">
      <alignment horizontal="center" vertical="center"/>
    </xf>
    <xf numFmtId="166" fontId="0" fillId="0" borderId="0" xfId="0" applyNumberFormat="1" applyAlignment="1" applyProtection="1">
      <alignment horizontal="center" vertical="center"/>
    </xf>
    <xf numFmtId="0" fontId="13" fillId="0" borderId="5" xfId="0" applyFont="1" applyBorder="1" applyAlignment="1" applyProtection="1">
      <alignment horizontal="left" vertical="center"/>
    </xf>
    <xf numFmtId="1" fontId="14" fillId="0" borderId="6" xfId="0" applyNumberFormat="1" applyFont="1" applyBorder="1" applyAlignment="1" applyProtection="1">
      <alignment horizontal="center" vertical="center"/>
    </xf>
    <xf numFmtId="166" fontId="14" fillId="2" borderId="6" xfId="0" applyNumberFormat="1" applyFont="1" applyFill="1" applyBorder="1" applyAlignment="1" applyProtection="1">
      <alignment horizontal="center" vertical="center"/>
    </xf>
    <xf numFmtId="1" fontId="14" fillId="0" borderId="0" xfId="0" applyNumberFormat="1" applyFont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</xf>
    <xf numFmtId="0" fontId="4" fillId="3" borderId="0" xfId="0" applyFont="1" applyFill="1" applyAlignment="1" applyProtection="1">
      <alignment horizontal="center" vertical="center"/>
    </xf>
    <xf numFmtId="0" fontId="12" fillId="0" borderId="0" xfId="0" applyFont="1" applyAlignment="1" applyProtection="1">
      <alignment vertical="center"/>
    </xf>
    <xf numFmtId="0" fontId="12" fillId="0" borderId="0" xfId="0" applyFont="1" applyAlignment="1" applyProtection="1">
      <alignment horizontal="left" vertical="center"/>
    </xf>
    <xf numFmtId="0" fontId="12" fillId="3" borderId="0" xfId="0" applyFont="1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center" vertical="center"/>
    </xf>
    <xf numFmtId="2" fontId="10" fillId="0" borderId="0" xfId="0" applyNumberFormat="1" applyFont="1" applyAlignment="1" applyProtection="1">
      <alignment horizontal="center" vertical="center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167" fontId="0" fillId="2" borderId="8" xfId="0" applyNumberForma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right" vertical="center"/>
    </xf>
    <xf numFmtId="0" fontId="17" fillId="0" borderId="0" xfId="1" applyProtection="1"/>
    <xf numFmtId="0" fontId="3" fillId="0" borderId="0" xfId="2" applyAlignment="1" applyProtection="1">
      <alignment horizontal="left" vertical="center"/>
    </xf>
    <xf numFmtId="0" fontId="26" fillId="0" borderId="0" xfId="3" applyAlignment="1" applyProtection="1">
      <alignment horizontal="center" vertical="center"/>
    </xf>
    <xf numFmtId="0" fontId="3" fillId="0" borderId="0" xfId="2" quotePrefix="1" applyAlignment="1" applyProtection="1">
      <alignment horizontal="center" vertical="center"/>
    </xf>
    <xf numFmtId="0" fontId="27" fillId="0" borderId="0" xfId="3" applyFont="1" applyAlignment="1" applyProtection="1">
      <alignment horizontal="left" vertical="center"/>
    </xf>
    <xf numFmtId="0" fontId="28" fillId="0" borderId="0" xfId="2" applyFont="1" applyAlignment="1" applyProtection="1">
      <alignment horizontal="left" vertical="center"/>
    </xf>
    <xf numFmtId="0" fontId="29" fillId="0" borderId="0" xfId="2" applyFont="1" applyAlignment="1" applyProtection="1">
      <alignment horizontal="left" vertical="center"/>
    </xf>
    <xf numFmtId="0" fontId="31" fillId="4" borderId="10" xfId="2" applyFont="1" applyFill="1" applyBorder="1" applyAlignment="1" applyProtection="1">
      <alignment horizontal="left" vertical="center"/>
      <protection locked="0"/>
    </xf>
    <xf numFmtId="0" fontId="31" fillId="4" borderId="11" xfId="2" applyFont="1" applyFill="1" applyBorder="1" applyAlignment="1" applyProtection="1">
      <alignment horizontal="left" vertical="center"/>
      <protection locked="0"/>
    </xf>
    <xf numFmtId="0" fontId="31" fillId="4" borderId="12" xfId="2" applyFont="1" applyFill="1" applyBorder="1" applyAlignment="1" applyProtection="1">
      <alignment horizontal="left" vertical="center"/>
      <protection locked="0"/>
    </xf>
    <xf numFmtId="0" fontId="22" fillId="0" borderId="0" xfId="2" applyFont="1" applyAlignment="1" applyProtection="1">
      <alignment horizontal="left" vertical="center"/>
    </xf>
    <xf numFmtId="0" fontId="24" fillId="0" borderId="0" xfId="2" applyFont="1" applyAlignment="1" applyProtection="1">
      <alignment horizontal="left" vertical="center"/>
    </xf>
    <xf numFmtId="0" fontId="24" fillId="0" borderId="0" xfId="0" applyFont="1" applyAlignment="1" applyProtection="1">
      <alignment horizontal="left" vertical="center"/>
    </xf>
    <xf numFmtId="0" fontId="24" fillId="0" borderId="0" xfId="2" applyFont="1" applyAlignment="1" applyProtection="1">
      <alignment horizontal="left" vertical="center" wrapText="1"/>
    </xf>
    <xf numFmtId="0" fontId="7" fillId="3" borderId="0" xfId="0" applyFont="1" applyFill="1" applyAlignment="1" applyProtection="1">
      <alignment horizontal="left" vertical="center"/>
    </xf>
    <xf numFmtId="0" fontId="36" fillId="0" borderId="0" xfId="2" applyFont="1" applyAlignment="1" applyProtection="1">
      <alignment horizontal="left" vertical="center"/>
    </xf>
    <xf numFmtId="0" fontId="7" fillId="0" borderId="0" xfId="0" applyFont="1" applyAlignment="1" applyProtection="1">
      <alignment horizontal="left" vertical="center"/>
    </xf>
    <xf numFmtId="0" fontId="16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17" fillId="0" borderId="0" xfId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12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 wrapText="1"/>
    </xf>
    <xf numFmtId="0" fontId="10" fillId="0" borderId="0" xfId="0" applyFont="1" applyAlignment="1" applyProtection="1">
      <alignment horizontal="left" vertical="center"/>
    </xf>
    <xf numFmtId="0" fontId="35" fillId="0" borderId="0" xfId="2" applyFont="1" applyAlignment="1" applyProtection="1">
      <alignment horizontal="left" vertical="center"/>
    </xf>
    <xf numFmtId="0" fontId="17" fillId="0" borderId="0" xfId="1" applyBorder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7">
    <cellStyle name="Hyperlink" xfId="1" builtinId="8"/>
    <cellStyle name="Hyperlink 2" xfId="3" xr:uid="{5CC28241-22F5-4E38-BD16-8F17D2BF3F0C}"/>
    <cellStyle name="Normal" xfId="0" builtinId="0"/>
    <cellStyle name="Normal 2" xfId="2" xr:uid="{15299D17-EAD0-4966-BCE7-773CA31812C8}"/>
    <cellStyle name="Normal 2 2" xfId="4" xr:uid="{11C7BA81-8631-4358-BE84-39CE767E8529}"/>
    <cellStyle name="Normal 2 2 2" xfId="6" xr:uid="{F471B58D-ADA9-4FEA-8B51-4CEE1F63E503}"/>
    <cellStyle name="Normal 3" xfId="5" xr:uid="{91F0A613-C73C-481B-B25A-CAADBDD8C24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ranidesign.com/" TargetMode="External"/><Relationship Id="rId2" Type="http://schemas.openxmlformats.org/officeDocument/2006/relationships/hyperlink" Target="https://www.esri.com/news/arcuser/0703/geoid2of3.html" TargetMode="External"/><Relationship Id="rId1" Type="http://schemas.openxmlformats.org/officeDocument/2006/relationships/hyperlink" Target="https://stackoverflow.com/questions/35693029/bin2dec-for-numbers-longer-than-10-bits-in-excel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stackoverflow.com/questions/46962288/change-longitude-from-180-to-180-to-0-to-360" TargetMode="External"/><Relationship Id="rId4" Type="http://schemas.openxmlformats.org/officeDocument/2006/relationships/hyperlink" Target="mailto:sales@baranidesign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ranidesign.com/" TargetMode="External"/><Relationship Id="rId2" Type="http://schemas.openxmlformats.org/officeDocument/2006/relationships/hyperlink" Target="https://www.esri.com/news/arcuser/0703/geoid2of3.html" TargetMode="External"/><Relationship Id="rId1" Type="http://schemas.openxmlformats.org/officeDocument/2006/relationships/hyperlink" Target="https://stackoverflow.com/questions/35693029/bin2dec-for-numbers-longer-than-10-bits-in-exce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sales@baranidesign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ranidesign.com/" TargetMode="External"/><Relationship Id="rId2" Type="http://schemas.openxmlformats.org/officeDocument/2006/relationships/hyperlink" Target="https://www.esri.com/news/arcuser/0703/geoid2of3.html" TargetMode="External"/><Relationship Id="rId1" Type="http://schemas.openxmlformats.org/officeDocument/2006/relationships/hyperlink" Target="https://stackoverflow.com/questions/35693029/bin2dec-for-numbers-longer-than-10-bits-in-excel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stackoverflow.com/questions/46962288/change-longitude-from-180-to-180-to-0-to-360" TargetMode="External"/><Relationship Id="rId4" Type="http://schemas.openxmlformats.org/officeDocument/2006/relationships/hyperlink" Target="mailto:sales@baranidesign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ranidesign.com/" TargetMode="External"/><Relationship Id="rId2" Type="http://schemas.openxmlformats.org/officeDocument/2006/relationships/hyperlink" Target="https://www.esri.com/news/arcuser/0703/geoid2of3.html" TargetMode="External"/><Relationship Id="rId1" Type="http://schemas.openxmlformats.org/officeDocument/2006/relationships/hyperlink" Target="https://stackoverflow.com/questions/35693029/bin2dec-for-numbers-longer-than-10-bits-in-excel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https://stackoverflow.com/questions/46962288/change-longitude-from-180-to-180-to-0-to-360" TargetMode="External"/><Relationship Id="rId4" Type="http://schemas.openxmlformats.org/officeDocument/2006/relationships/hyperlink" Target="mailto:sales@baranidesig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171F-CB23-4B89-813C-E1FF73F802D8}">
  <dimension ref="A1:AP37"/>
  <sheetViews>
    <sheetView tabSelected="1" zoomScaleNormal="100" workbookViewId="0">
      <selection activeCell="B5" sqref="B5:L5"/>
    </sheetView>
  </sheetViews>
  <sheetFormatPr defaultRowHeight="15" x14ac:dyDescent="0.25"/>
  <cols>
    <col min="1" max="1" width="31.42578125" style="49" customWidth="1"/>
    <col min="2" max="2" width="9.5703125" style="51" bestFit="1" customWidth="1"/>
    <col min="3" max="3" width="18.7109375" style="49" customWidth="1"/>
    <col min="4" max="4" width="32.42578125" style="49" customWidth="1"/>
    <col min="5" max="5" width="16.85546875" style="49" bestFit="1" customWidth="1"/>
    <col min="6" max="6" width="13.5703125" style="49" customWidth="1"/>
    <col min="7" max="7" width="15.140625" style="49" bestFit="1" customWidth="1"/>
    <col min="8" max="8" width="20.140625" style="49" customWidth="1"/>
    <col min="9" max="9" width="15" style="49" customWidth="1"/>
    <col min="10" max="10" width="13.5703125" style="49" customWidth="1"/>
    <col min="11" max="11" width="15.140625" style="49" bestFit="1" customWidth="1"/>
    <col min="12" max="12" width="26.28515625" style="49" customWidth="1"/>
    <col min="13" max="13" width="25.5703125" style="49" customWidth="1"/>
    <col min="14" max="14" width="27.28515625" style="49" customWidth="1"/>
    <col min="15" max="15" width="19.85546875" style="49" customWidth="1"/>
    <col min="16" max="16" width="9.42578125" style="49" customWidth="1"/>
    <col min="17" max="17" width="12.140625" style="49" customWidth="1"/>
    <col min="18" max="18" width="16.42578125" style="49" customWidth="1"/>
    <col min="19" max="26" width="5" style="49" bestFit="1" customWidth="1"/>
    <col min="27" max="16384" width="9.140625" style="49"/>
  </cols>
  <sheetData>
    <row r="1" spans="1:29" s="72" customFormat="1" x14ac:dyDescent="0.25">
      <c r="A1" s="70" t="s">
        <v>141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29" s="72" customFormat="1" ht="18.75" x14ac:dyDescent="0.25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9" s="72" customFormat="1" x14ac:dyDescent="0.25">
      <c r="A3" s="196" t="s">
        <v>68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9" s="72" customFormat="1" ht="15.75" thickBot="1" x14ac:dyDescent="0.3">
      <c r="A4" s="197" t="s">
        <v>69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9" s="72" customFormat="1" ht="19.5" thickBot="1" x14ac:dyDescent="0.3">
      <c r="A5" s="73" t="s">
        <v>70</v>
      </c>
      <c r="B5" s="198" t="s">
        <v>148</v>
      </c>
      <c r="C5" s="199"/>
      <c r="D5" s="199"/>
      <c r="E5" s="199"/>
      <c r="F5" s="199"/>
      <c r="G5" s="199"/>
      <c r="H5" s="199"/>
      <c r="I5" s="199"/>
      <c r="J5" s="199"/>
      <c r="K5" s="199"/>
      <c r="L5" s="200"/>
    </row>
    <row r="6" spans="1:29" s="72" customFormat="1" x14ac:dyDescent="0.25">
      <c r="A6" s="74" t="s">
        <v>2</v>
      </c>
      <c r="B6" s="201" t="str">
        <f>CONCATENATE(B35,C35,D35,E35,F35,G35,H35,I35,J35,K35,L35,M35,N35,O35,P35,Q35,R35,S35,T35,U35,V35,W35,X35,Y35,Z35,AA35,AB35,AC35,AD35,AE35,AF35,AG35,AH35,AI35,AJ35,AK35,AL35,AM35,AN35,AO35,AP35,)</f>
        <v>00000011010000011001010001110001111111101110011111011000110101000000000000000000000000000000000000000000000000000000000000000010000000000000000000000000000000000000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</row>
    <row r="7" spans="1:29" s="72" customFormat="1" x14ac:dyDescent="0.25">
      <c r="A7" s="74" t="s">
        <v>3</v>
      </c>
      <c r="B7" s="75">
        <v>1</v>
      </c>
      <c r="C7" s="76">
        <f t="shared" ref="C7:P7" si="0">B7+B14</f>
        <v>9</v>
      </c>
      <c r="D7" s="76">
        <f t="shared" si="0"/>
        <v>10</v>
      </c>
      <c r="E7" s="76">
        <f t="shared" si="0"/>
        <v>24</v>
      </c>
      <c r="F7" s="76">
        <f t="shared" si="0"/>
        <v>32</v>
      </c>
      <c r="G7" s="76">
        <f t="shared" si="0"/>
        <v>40</v>
      </c>
      <c r="H7" s="76">
        <f t="shared" si="0"/>
        <v>49</v>
      </c>
      <c r="I7" s="76">
        <f t="shared" si="0"/>
        <v>64</v>
      </c>
      <c r="J7" s="76">
        <f t="shared" si="0"/>
        <v>75</v>
      </c>
      <c r="K7" s="76">
        <f t="shared" si="0"/>
        <v>85</v>
      </c>
      <c r="L7" s="77">
        <f t="shared" si="0"/>
        <v>95</v>
      </c>
      <c r="M7" s="77">
        <f t="shared" si="0"/>
        <v>107</v>
      </c>
      <c r="N7" s="76">
        <f t="shared" si="0"/>
        <v>117</v>
      </c>
      <c r="O7" s="76">
        <f t="shared" si="0"/>
        <v>127</v>
      </c>
      <c r="P7" s="76">
        <f t="shared" si="0"/>
        <v>128</v>
      </c>
      <c r="Q7" s="78"/>
    </row>
    <row r="8" spans="1:29" s="72" customFormat="1" ht="60" x14ac:dyDescent="0.25">
      <c r="A8" s="74" t="s">
        <v>4</v>
      </c>
      <c r="B8" s="79" t="s">
        <v>5</v>
      </c>
      <c r="C8" s="79" t="s">
        <v>71</v>
      </c>
      <c r="D8" s="79" t="s">
        <v>72</v>
      </c>
      <c r="E8" s="79" t="s">
        <v>73</v>
      </c>
      <c r="F8" s="79" t="s">
        <v>74</v>
      </c>
      <c r="G8" s="79" t="s">
        <v>75</v>
      </c>
      <c r="H8" s="79" t="s">
        <v>76</v>
      </c>
      <c r="I8" s="79" t="s">
        <v>77</v>
      </c>
      <c r="J8" s="79" t="s">
        <v>83</v>
      </c>
      <c r="K8" s="79" t="s">
        <v>78</v>
      </c>
      <c r="L8" s="80" t="s">
        <v>85</v>
      </c>
      <c r="M8" s="80" t="s">
        <v>111</v>
      </c>
      <c r="N8" s="80" t="s">
        <v>84</v>
      </c>
      <c r="O8" s="80" t="s">
        <v>150</v>
      </c>
      <c r="P8" s="81" t="s">
        <v>149</v>
      </c>
      <c r="Q8" s="78"/>
    </row>
    <row r="9" spans="1:29" s="72" customFormat="1" x14ac:dyDescent="0.25">
      <c r="A9" s="74" t="s">
        <v>6</v>
      </c>
      <c r="B9" s="82" t="str">
        <f t="shared" ref="B9:P9" si="1">MID($B6,B7,B14)</f>
        <v>00000011</v>
      </c>
      <c r="C9" s="82" t="str">
        <f t="shared" si="1"/>
        <v>0</v>
      </c>
      <c r="D9" s="82" t="str">
        <f t="shared" si="1"/>
        <v>10000011001010</v>
      </c>
      <c r="E9" s="82" t="str">
        <f t="shared" si="1"/>
        <v>00111000</v>
      </c>
      <c r="F9" s="82" t="str">
        <f t="shared" si="1"/>
        <v>11111111</v>
      </c>
      <c r="G9" s="82" t="str">
        <f t="shared" si="1"/>
        <v>011100111</v>
      </c>
      <c r="H9" s="82" t="str">
        <f t="shared" si="1"/>
        <v>110110001101010</v>
      </c>
      <c r="I9" s="82" t="str">
        <f t="shared" si="1"/>
        <v>00000000000</v>
      </c>
      <c r="J9" s="82" t="str">
        <f t="shared" si="1"/>
        <v>0000000000</v>
      </c>
      <c r="K9" s="82" t="str">
        <f t="shared" si="1"/>
        <v>0000000000</v>
      </c>
      <c r="L9" s="83" t="str">
        <f t="shared" si="1"/>
        <v>000000000000</v>
      </c>
      <c r="M9" s="83" t="str">
        <f t="shared" si="1"/>
        <v>0000000000</v>
      </c>
      <c r="N9" s="82" t="str">
        <f t="shared" si="1"/>
        <v>0000000000</v>
      </c>
      <c r="O9" s="82" t="str">
        <f t="shared" si="1"/>
        <v>1</v>
      </c>
      <c r="P9" s="82" t="str">
        <f t="shared" si="1"/>
        <v>0</v>
      </c>
      <c r="Q9" s="78"/>
    </row>
    <row r="10" spans="1:29" s="72" customFormat="1" x14ac:dyDescent="0.25">
      <c r="A10" s="74" t="s">
        <v>7</v>
      </c>
      <c r="B10" s="84">
        <f ca="1">SUMPRODUCT(--MID(B9,LEN(B9)+1-ROW(INDIRECT("1:"&amp;LEN(B9))),1),(2^(ROW(INDIRECT("1:"&amp;LEN(B9)))-1)))</f>
        <v>3</v>
      </c>
      <c r="C10" s="84">
        <f t="shared" ref="C10:P10" ca="1" si="2">SUMPRODUCT(--MID(C9,LEN(C9)+1-ROW(INDIRECT("1:"&amp;LEN(C9))),1),(2^(ROW(INDIRECT("1:"&amp;LEN(C9)))-1)))</f>
        <v>0</v>
      </c>
      <c r="D10" s="84">
        <f t="shared" ca="1" si="2"/>
        <v>8394</v>
      </c>
      <c r="E10" s="84">
        <f t="shared" ca="1" si="2"/>
        <v>56</v>
      </c>
      <c r="F10" s="84">
        <f t="shared" ca="1" si="2"/>
        <v>255</v>
      </c>
      <c r="G10" s="84">
        <f t="shared" ca="1" si="2"/>
        <v>231</v>
      </c>
      <c r="H10" s="84">
        <f t="shared" ca="1" si="2"/>
        <v>27754</v>
      </c>
      <c r="I10" s="84">
        <f t="shared" ca="1" si="2"/>
        <v>0</v>
      </c>
      <c r="J10" s="84">
        <f t="shared" ca="1" si="2"/>
        <v>0</v>
      </c>
      <c r="K10" s="84">
        <f t="shared" ca="1" si="2"/>
        <v>0</v>
      </c>
      <c r="L10" s="84">
        <f t="shared" ca="1" si="2"/>
        <v>0</v>
      </c>
      <c r="M10" s="84">
        <f t="shared" ca="1" si="2"/>
        <v>0</v>
      </c>
      <c r="N10" s="84">
        <f t="shared" ca="1" si="2"/>
        <v>0</v>
      </c>
      <c r="O10" s="84">
        <f t="shared" ca="1" si="2"/>
        <v>1</v>
      </c>
      <c r="P10" s="84">
        <f t="shared" ca="1" si="2"/>
        <v>0</v>
      </c>
      <c r="Q10" s="78"/>
    </row>
    <row r="11" spans="1:29" s="72" customFormat="1" ht="15.75" thickBot="1" x14ac:dyDescent="0.3">
      <c r="A11" s="85" t="s">
        <v>8</v>
      </c>
      <c r="B11" s="86">
        <f ca="1">B10</f>
        <v>3</v>
      </c>
      <c r="C11" s="87">
        <f ca="1">IF(MOD(B11,10)&lt;=4,MOD(B11,10)*C13+C16,MOD(B11,10)*C13+C16-1)</f>
        <v>3.9</v>
      </c>
      <c r="D11" s="88">
        <f t="shared" ref="D11:P11" ca="1" si="3">D10*D13+D16</f>
        <v>33.94</v>
      </c>
      <c r="E11" s="86">
        <f t="shared" ca="1" si="3"/>
        <v>2.8000000000000003</v>
      </c>
      <c r="F11" s="86">
        <f t="shared" ca="1" si="3"/>
        <v>12.75</v>
      </c>
      <c r="G11" s="86">
        <f t="shared" ca="1" si="3"/>
        <v>46.2</v>
      </c>
      <c r="H11" s="86">
        <f t="shared" ca="1" si="3"/>
        <v>99385</v>
      </c>
      <c r="I11" s="86">
        <f t="shared" ca="1" si="3"/>
        <v>0</v>
      </c>
      <c r="J11" s="86">
        <f t="shared" ca="1" si="3"/>
        <v>0</v>
      </c>
      <c r="K11" s="86">
        <f t="shared" ca="1" si="3"/>
        <v>0</v>
      </c>
      <c r="L11" s="89">
        <f t="shared" ca="1" si="3"/>
        <v>0</v>
      </c>
      <c r="M11" s="89">
        <f t="shared" ca="1" si="3"/>
        <v>0</v>
      </c>
      <c r="N11" s="86">
        <f t="shared" ca="1" si="3"/>
        <v>0</v>
      </c>
      <c r="O11" s="86">
        <f t="shared" ca="1" si="3"/>
        <v>1</v>
      </c>
      <c r="P11" s="86">
        <f t="shared" ca="1" si="3"/>
        <v>0</v>
      </c>
      <c r="Q11" s="90"/>
    </row>
    <row r="12" spans="1:29" s="72" customFormat="1" ht="45" x14ac:dyDescent="0.25">
      <c r="A12" s="91" t="s">
        <v>10</v>
      </c>
      <c r="B12" s="92" t="s">
        <v>11</v>
      </c>
      <c r="C12" s="92" t="s">
        <v>12</v>
      </c>
      <c r="D12" s="92" t="s">
        <v>87</v>
      </c>
      <c r="E12" s="92" t="s">
        <v>87</v>
      </c>
      <c r="F12" s="92" t="s">
        <v>87</v>
      </c>
      <c r="G12" s="92" t="s">
        <v>79</v>
      </c>
      <c r="H12" s="92" t="s">
        <v>80</v>
      </c>
      <c r="I12" s="92" t="s">
        <v>81</v>
      </c>
      <c r="J12" s="92" t="s">
        <v>81</v>
      </c>
      <c r="K12" s="92" t="s">
        <v>81</v>
      </c>
      <c r="L12" s="93" t="s">
        <v>93</v>
      </c>
      <c r="M12" s="94" t="s">
        <v>128</v>
      </c>
      <c r="N12" s="93" t="s">
        <v>93</v>
      </c>
      <c r="O12" s="93" t="s">
        <v>14</v>
      </c>
      <c r="P12" s="93" t="s">
        <v>14</v>
      </c>
      <c r="Q12" s="95"/>
    </row>
    <row r="13" spans="1:29" s="72" customFormat="1" x14ac:dyDescent="0.25">
      <c r="A13" s="96" t="s">
        <v>15</v>
      </c>
      <c r="B13" s="97">
        <v>1</v>
      </c>
      <c r="C13" s="97">
        <v>0.2</v>
      </c>
      <c r="D13" s="98">
        <v>0.01</v>
      </c>
      <c r="E13" s="98">
        <v>0.05</v>
      </c>
      <c r="F13" s="98">
        <v>0.05</v>
      </c>
      <c r="G13" s="98">
        <v>0.2</v>
      </c>
      <c r="H13" s="98">
        <v>2.5</v>
      </c>
      <c r="I13" s="98">
        <v>1</v>
      </c>
      <c r="J13" s="98">
        <v>2</v>
      </c>
      <c r="K13" s="98">
        <v>2</v>
      </c>
      <c r="L13" s="99">
        <v>1</v>
      </c>
      <c r="M13" s="100">
        <v>1</v>
      </c>
      <c r="N13" s="100">
        <v>0.01</v>
      </c>
      <c r="O13" s="100">
        <v>1</v>
      </c>
      <c r="P13" s="100">
        <v>1</v>
      </c>
      <c r="Q13" s="101"/>
    </row>
    <row r="14" spans="1:29" s="72" customFormat="1" x14ac:dyDescent="0.25">
      <c r="A14" s="102" t="s">
        <v>16</v>
      </c>
      <c r="B14" s="103">
        <v>8</v>
      </c>
      <c r="C14" s="104">
        <v>1</v>
      </c>
      <c r="D14" s="104">
        <v>14</v>
      </c>
      <c r="E14" s="104">
        <v>8</v>
      </c>
      <c r="F14" s="104">
        <v>8</v>
      </c>
      <c r="G14" s="104">
        <v>9</v>
      </c>
      <c r="H14" s="104">
        <v>15</v>
      </c>
      <c r="I14" s="104">
        <v>11</v>
      </c>
      <c r="J14" s="104">
        <v>10</v>
      </c>
      <c r="K14" s="104">
        <v>10</v>
      </c>
      <c r="L14" s="104">
        <v>12</v>
      </c>
      <c r="M14" s="104">
        <v>10</v>
      </c>
      <c r="N14" s="104">
        <v>10</v>
      </c>
      <c r="O14" s="104">
        <v>1</v>
      </c>
      <c r="P14" s="104">
        <v>1</v>
      </c>
      <c r="Q14" s="105">
        <f>SUM(B14:O14)</f>
        <v>127</v>
      </c>
      <c r="R14" s="106"/>
      <c r="S14" s="106"/>
      <c r="T14" s="106"/>
      <c r="U14" s="106"/>
      <c r="V14" s="106"/>
      <c r="W14" s="107"/>
      <c r="X14" s="107"/>
      <c r="Y14" s="107"/>
      <c r="Z14" s="107"/>
      <c r="AA14" s="107"/>
      <c r="AB14" s="107"/>
      <c r="AC14" s="107"/>
    </row>
    <row r="15" spans="1:29" s="72" customFormat="1" x14ac:dyDescent="0.25">
      <c r="A15" s="108" t="s">
        <v>17</v>
      </c>
      <c r="B15" s="109">
        <f>2^B14</f>
        <v>256</v>
      </c>
      <c r="C15" s="109">
        <v>1</v>
      </c>
      <c r="D15" s="109">
        <f>2^D14</f>
        <v>16384</v>
      </c>
      <c r="E15" s="109">
        <f>2^E14</f>
        <v>256</v>
      </c>
      <c r="F15" s="109">
        <f>2^F14</f>
        <v>256</v>
      </c>
      <c r="G15" s="109">
        <f>2^G14</f>
        <v>512</v>
      </c>
      <c r="H15" s="109">
        <f t="shared" ref="H15:I15" si="4">2^H14</f>
        <v>32768</v>
      </c>
      <c r="I15" s="109">
        <f t="shared" si="4"/>
        <v>2048</v>
      </c>
      <c r="J15" s="109">
        <f>2^J14</f>
        <v>1024</v>
      </c>
      <c r="K15" s="109">
        <f>2^K14</f>
        <v>1024</v>
      </c>
      <c r="L15" s="110">
        <f t="shared" ref="L15:O15" si="5">2^L14</f>
        <v>4096</v>
      </c>
      <c r="M15" s="110">
        <f t="shared" si="5"/>
        <v>1024</v>
      </c>
      <c r="N15" s="110">
        <f t="shared" si="5"/>
        <v>1024</v>
      </c>
      <c r="O15" s="110">
        <f t="shared" si="5"/>
        <v>2</v>
      </c>
      <c r="P15" s="110">
        <f t="shared" ref="P15" si="6">2^P14</f>
        <v>2</v>
      </c>
      <c r="Q15" s="111"/>
      <c r="R15" s="112"/>
      <c r="S15" s="112"/>
      <c r="T15" s="112"/>
      <c r="U15" s="112"/>
      <c r="V15" s="112"/>
      <c r="W15" s="113"/>
      <c r="X15" s="113"/>
      <c r="Y15" s="113"/>
      <c r="Z15" s="113"/>
      <c r="AA15" s="113"/>
      <c r="AB15" s="113"/>
      <c r="AC15" s="113"/>
    </row>
    <row r="16" spans="1:29" s="72" customFormat="1" x14ac:dyDescent="0.25">
      <c r="A16" s="96" t="s">
        <v>18</v>
      </c>
      <c r="B16" s="97">
        <v>0</v>
      </c>
      <c r="C16" s="114">
        <v>3.3</v>
      </c>
      <c r="D16" s="97">
        <v>-50</v>
      </c>
      <c r="E16" s="97">
        <v>0</v>
      </c>
      <c r="F16" s="97">
        <v>0</v>
      </c>
      <c r="G16" s="97">
        <v>0</v>
      </c>
      <c r="H16" s="97">
        <v>30000</v>
      </c>
      <c r="I16" s="97">
        <v>0</v>
      </c>
      <c r="J16" s="97">
        <v>0</v>
      </c>
      <c r="K16" s="97">
        <v>0</v>
      </c>
      <c r="L16" s="100">
        <v>0</v>
      </c>
      <c r="M16" s="100">
        <v>0</v>
      </c>
      <c r="N16" s="100">
        <v>0</v>
      </c>
      <c r="O16" s="100">
        <v>0</v>
      </c>
      <c r="P16" s="100">
        <v>0</v>
      </c>
      <c r="Q16" s="101"/>
    </row>
    <row r="17" spans="1:29" s="72" customFormat="1" x14ac:dyDescent="0.25">
      <c r="A17" s="108" t="s">
        <v>19</v>
      </c>
      <c r="B17" s="115">
        <f>(B15-1)*B13+B16</f>
        <v>255</v>
      </c>
      <c r="C17" s="115">
        <f t="shared" ref="C17:D17" si="7">(C15-1)*C13+C16</f>
        <v>3.3</v>
      </c>
      <c r="D17" s="115">
        <f t="shared" si="7"/>
        <v>113.83000000000001</v>
      </c>
      <c r="E17" s="115">
        <f>(E15-1)*E13+E16</f>
        <v>12.75</v>
      </c>
      <c r="F17" s="115">
        <f>(F15-1)*F13+F16</f>
        <v>12.75</v>
      </c>
      <c r="G17" s="115">
        <f t="shared" ref="G17:I17" si="8">(G15-1)*G13+G16</f>
        <v>102.2</v>
      </c>
      <c r="H17" s="115">
        <f t="shared" si="8"/>
        <v>111917.5</v>
      </c>
      <c r="I17" s="115">
        <f t="shared" si="8"/>
        <v>2047</v>
      </c>
      <c r="J17" s="115">
        <f>(J15-1)*J13+J16</f>
        <v>2046</v>
      </c>
      <c r="K17" s="115">
        <f>(K15-1)*K13+K16</f>
        <v>2046</v>
      </c>
      <c r="L17" s="116">
        <f t="shared" ref="L17:O17" si="9">(L15-1)*L13+L16</f>
        <v>4095</v>
      </c>
      <c r="M17" s="116">
        <f t="shared" si="9"/>
        <v>1023</v>
      </c>
      <c r="N17" s="116">
        <f t="shared" si="9"/>
        <v>10.23</v>
      </c>
      <c r="O17" s="116">
        <f t="shared" si="9"/>
        <v>1</v>
      </c>
      <c r="P17" s="116">
        <f t="shared" ref="P17" si="10">(P15-1)*P13+P16</f>
        <v>1</v>
      </c>
      <c r="Q17" s="111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</row>
    <row r="18" spans="1:29" s="72" customFormat="1" x14ac:dyDescent="0.25">
      <c r="A18" s="96" t="s">
        <v>20</v>
      </c>
      <c r="B18" s="97">
        <v>0</v>
      </c>
      <c r="C18" s="97">
        <v>3.3</v>
      </c>
      <c r="D18" s="97">
        <v>-50</v>
      </c>
      <c r="E18" s="97">
        <v>0</v>
      </c>
      <c r="F18" s="97">
        <v>0</v>
      </c>
      <c r="G18" s="97">
        <v>0</v>
      </c>
      <c r="H18" s="97">
        <v>30000</v>
      </c>
      <c r="I18" s="97">
        <v>0</v>
      </c>
      <c r="J18" s="97">
        <v>0</v>
      </c>
      <c r="K18" s="97">
        <v>0</v>
      </c>
      <c r="L18" s="100">
        <v>0</v>
      </c>
      <c r="M18" s="100">
        <v>0</v>
      </c>
      <c r="N18" s="100">
        <v>0</v>
      </c>
      <c r="O18" s="100">
        <v>0</v>
      </c>
      <c r="P18" s="100">
        <v>0</v>
      </c>
      <c r="Q18" s="101"/>
    </row>
    <row r="19" spans="1:29" s="72" customFormat="1" ht="15.75" thickBot="1" x14ac:dyDescent="0.3">
      <c r="A19" s="117" t="s">
        <v>21</v>
      </c>
      <c r="B19" s="118">
        <v>3</v>
      </c>
      <c r="C19" s="118">
        <v>3.9</v>
      </c>
      <c r="D19" s="118">
        <v>80</v>
      </c>
      <c r="E19" s="118">
        <v>6.2</v>
      </c>
      <c r="F19" s="118">
        <v>6.2</v>
      </c>
      <c r="G19" s="118">
        <v>100</v>
      </c>
      <c r="H19" s="118">
        <v>108300</v>
      </c>
      <c r="I19" s="118">
        <v>1380</v>
      </c>
      <c r="J19" s="118">
        <v>1380</v>
      </c>
      <c r="K19" s="118">
        <v>1380</v>
      </c>
      <c r="L19" s="119">
        <v>2047</v>
      </c>
      <c r="M19" s="119">
        <v>1023</v>
      </c>
      <c r="N19" s="119">
        <v>10</v>
      </c>
      <c r="O19" s="119">
        <v>1</v>
      </c>
      <c r="P19" s="119">
        <v>1</v>
      </c>
      <c r="Q19" s="120">
        <v>128</v>
      </c>
      <c r="R19" s="121">
        <f>Q19/8</f>
        <v>16</v>
      </c>
    </row>
    <row r="20" spans="1:29" s="72" customFormat="1" x14ac:dyDescent="0.25">
      <c r="A20" s="122" t="s">
        <v>22</v>
      </c>
      <c r="B20" s="122" t="str">
        <f>IF(B17&gt;=B19,"OK","ERROR")</f>
        <v>OK</v>
      </c>
      <c r="C20" s="122">
        <f ca="1">C11</f>
        <v>3.9</v>
      </c>
      <c r="D20" s="122" t="str">
        <f>IF(D17&gt;=D19,"OK","ERROR")</f>
        <v>OK</v>
      </c>
      <c r="E20" s="122" t="str">
        <f>IF(E17&gt;=E19,"OK","ERROR")</f>
        <v>OK</v>
      </c>
      <c r="F20" s="122" t="str">
        <f>IF(F17&gt;=F19,"OK","ERROR")</f>
        <v>OK</v>
      </c>
      <c r="G20" s="122" t="str">
        <f>IF(G17&gt;=G19,"OK","ERROR")</f>
        <v>OK</v>
      </c>
      <c r="H20" s="122" t="str">
        <f>IF(H17&gt;=H19,"OK","ERROR")</f>
        <v>OK</v>
      </c>
      <c r="I20" s="122" t="str">
        <f t="shared" ref="I20" si="11">IF(I17&gt;=I19,"OK","ERROR")</f>
        <v>OK</v>
      </c>
      <c r="J20" s="122" t="str">
        <f>IF(J17&gt;=J19,"OK","ERROR")</f>
        <v>OK</v>
      </c>
      <c r="K20" s="122" t="str">
        <f>IF(K17&gt;=K19,"OK","ERROR")</f>
        <v>OK</v>
      </c>
      <c r="L20" s="123" t="str">
        <f t="shared" ref="L20:P20" si="12">IF(L17&gt;=L19,"OK","ERROR")</f>
        <v>OK</v>
      </c>
      <c r="M20" s="123" t="str">
        <f t="shared" si="12"/>
        <v>OK</v>
      </c>
      <c r="N20" s="123" t="str">
        <f t="shared" si="12"/>
        <v>OK</v>
      </c>
      <c r="O20" s="123" t="str">
        <f t="shared" si="12"/>
        <v>OK</v>
      </c>
      <c r="P20" s="123" t="str">
        <f t="shared" si="12"/>
        <v>OK</v>
      </c>
      <c r="Q20" s="124" t="str">
        <f>IF(Q14&lt;=Q19,"OK","ERROR")</f>
        <v>OK</v>
      </c>
    </row>
    <row r="21" spans="1:29" s="131" customFormat="1" ht="21" x14ac:dyDescent="0.25">
      <c r="A21" s="125" t="s">
        <v>131</v>
      </c>
      <c r="B21" s="126">
        <f ca="1">B11</f>
        <v>3</v>
      </c>
      <c r="C21" s="126" t="str">
        <f ca="1">IF(C10=1, CONCATENATE("&gt; ",ROUND(C20,1), " V"), CONCATENATE("!!!! &lt; ",ROUND(C20,1)," V"))</f>
        <v>!!!! &lt; 3,9 V</v>
      </c>
      <c r="D21" s="126" t="str">
        <f ca="1">CONCATENATE(D11, " ",D12)</f>
        <v>33,94 °C</v>
      </c>
      <c r="E21" s="126" t="str">
        <f ca="1">CONCATENATE( D11-E11," ",E12)</f>
        <v>31,14 °C</v>
      </c>
      <c r="F21" s="126" t="str">
        <f ca="1">CONCATENATE(ROUNDUP(D11+F11,4), " ",F12)</f>
        <v>46,69 °C</v>
      </c>
      <c r="G21" s="126" t="str">
        <f ca="1">CONCATENATE( G11, " ", G12)</f>
        <v>46,2 %</v>
      </c>
      <c r="H21" s="126" t="str">
        <f ca="1">CONCATENATE( H11, " ", H12)</f>
        <v>99385 Pa</v>
      </c>
      <c r="I21" s="126" t="str">
        <f ca="1">CONCATENATE( I11, " ", I12)</f>
        <v>0 W/m2</v>
      </c>
      <c r="J21" s="126" t="str">
        <f ca="1">CONCATENATE( I11-J11, " ", J12)</f>
        <v>0 W/m2</v>
      </c>
      <c r="K21" s="126" t="str">
        <f ca="1">CONCATENATE( K11+I11, " ", K12)</f>
        <v>0 W/m2</v>
      </c>
      <c r="L21" s="127">
        <f ca="1">L11</f>
        <v>0</v>
      </c>
      <c r="M21" s="128">
        <f ca="1">IF(M11&gt;0,((728/M11)^2),0)</f>
        <v>0</v>
      </c>
      <c r="N21" s="127">
        <f ca="1">N11</f>
        <v>0</v>
      </c>
      <c r="O21" s="127" t="str">
        <f>O9</f>
        <v>1</v>
      </c>
      <c r="P21" s="127" t="str">
        <f>P9</f>
        <v>0</v>
      </c>
      <c r="Q21" s="129"/>
      <c r="R21" s="130"/>
      <c r="S21" s="130"/>
      <c r="T21" s="130"/>
      <c r="U21" s="130"/>
      <c r="V21" s="130"/>
      <c r="W21" s="130"/>
      <c r="X21" s="130"/>
      <c r="Y21" s="130"/>
      <c r="Z21" s="130"/>
    </row>
    <row r="22" spans="1:29" s="72" customFormat="1" x14ac:dyDescent="0.25">
      <c r="A22" s="202" t="s">
        <v>142</v>
      </c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 spans="1:29" s="72" customFormat="1" x14ac:dyDescent="0.25">
      <c r="A23" s="203" t="s">
        <v>143</v>
      </c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spans="1:29" s="72" customFormat="1" x14ac:dyDescent="0.25">
      <c r="A24" s="132" t="s">
        <v>144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spans="1:29" s="72" customFormat="1" ht="69" customHeight="1" x14ac:dyDescent="0.2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spans="1:29" s="72" customFormat="1" x14ac:dyDescent="0.25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spans="1:29" s="72" customFormat="1" x14ac:dyDescent="0.25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spans="1:29" s="72" customFormat="1" x14ac:dyDescent="0.25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spans="1:29" s="72" customFormat="1" ht="30" customHeight="1" x14ac:dyDescent="0.25">
      <c r="A29" s="204" t="s">
        <v>130</v>
      </c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spans="1:29" s="72" customFormat="1" x14ac:dyDescent="0.25">
      <c r="A30" s="205" t="s">
        <v>24</v>
      </c>
      <c r="B30" s="205"/>
      <c r="C30" s="205"/>
      <c r="D30" s="205"/>
      <c r="E30" s="205"/>
      <c r="F30" s="205"/>
      <c r="G30" s="205"/>
      <c r="H30" s="205"/>
      <c r="I30" s="205"/>
      <c r="J30" s="205"/>
      <c r="K30" s="205"/>
      <c r="L30" s="205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spans="1:29" s="72" customFormat="1" ht="15" customHeight="1" x14ac:dyDescent="0.25">
      <c r="C31" s="71"/>
      <c r="E31" s="71"/>
      <c r="F31" s="71"/>
      <c r="G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135"/>
    </row>
    <row r="32" spans="1:29" s="72" customFormat="1" x14ac:dyDescent="0.25">
      <c r="A32" s="206" t="s">
        <v>25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 spans="1:42" s="72" customFormat="1" x14ac:dyDescent="0.25">
      <c r="A33" s="136" t="s">
        <v>26</v>
      </c>
      <c r="B33" s="137">
        <v>1</v>
      </c>
      <c r="C33" s="137">
        <v>2</v>
      </c>
      <c r="D33" s="137">
        <v>3</v>
      </c>
      <c r="E33" s="137">
        <v>4</v>
      </c>
      <c r="F33" s="137">
        <v>5</v>
      </c>
      <c r="G33" s="137">
        <v>6</v>
      </c>
      <c r="H33" s="137">
        <v>7</v>
      </c>
      <c r="I33" s="137">
        <v>8</v>
      </c>
      <c r="J33" s="137">
        <v>9</v>
      </c>
      <c r="K33" s="137">
        <v>10</v>
      </c>
      <c r="L33" s="137">
        <v>11</v>
      </c>
      <c r="M33" s="137">
        <v>12</v>
      </c>
      <c r="N33" s="137">
        <v>13</v>
      </c>
      <c r="O33" s="137">
        <v>14</v>
      </c>
      <c r="P33" s="137">
        <v>15</v>
      </c>
      <c r="Q33" s="137">
        <v>16</v>
      </c>
      <c r="R33" s="137">
        <v>17</v>
      </c>
      <c r="S33" s="137">
        <v>18</v>
      </c>
      <c r="T33" s="137">
        <v>19</v>
      </c>
      <c r="U33" s="137">
        <v>20</v>
      </c>
      <c r="V33" s="137">
        <v>21</v>
      </c>
      <c r="W33" s="137">
        <v>22</v>
      </c>
      <c r="X33" s="137">
        <v>23</v>
      </c>
      <c r="Y33" s="137">
        <v>24</v>
      </c>
      <c r="Z33" s="137">
        <v>25</v>
      </c>
      <c r="AA33" s="137">
        <v>26</v>
      </c>
      <c r="AB33" s="137">
        <v>27</v>
      </c>
      <c r="AC33" s="137">
        <v>28</v>
      </c>
      <c r="AD33" s="137">
        <v>29</v>
      </c>
      <c r="AE33" s="137">
        <v>30</v>
      </c>
      <c r="AF33" s="137">
        <v>31</v>
      </c>
      <c r="AG33" s="137">
        <v>32</v>
      </c>
      <c r="AH33" s="137">
        <v>33</v>
      </c>
      <c r="AI33" s="137">
        <v>34</v>
      </c>
      <c r="AJ33" s="137">
        <v>35</v>
      </c>
      <c r="AK33" s="137">
        <v>36</v>
      </c>
      <c r="AL33" s="137">
        <v>37</v>
      </c>
      <c r="AM33" s="137">
        <v>38</v>
      </c>
      <c r="AN33" s="137">
        <v>39</v>
      </c>
      <c r="AO33" s="137">
        <v>40</v>
      </c>
      <c r="AP33" s="137">
        <v>41</v>
      </c>
    </row>
    <row r="34" spans="1:42" s="72" customFormat="1" x14ac:dyDescent="0.25">
      <c r="A34" s="136" t="s">
        <v>27</v>
      </c>
      <c r="B34" s="138" t="str">
        <f t="shared" ref="B34:AP34" si="13">MID($B5,B33,1)</f>
        <v>0</v>
      </c>
      <c r="C34" s="138" t="str">
        <f t="shared" si="13"/>
        <v>3</v>
      </c>
      <c r="D34" s="138" t="str">
        <f t="shared" si="13"/>
        <v>4</v>
      </c>
      <c r="E34" s="138" t="str">
        <f t="shared" si="13"/>
        <v>1</v>
      </c>
      <c r="F34" s="138" t="str">
        <f t="shared" si="13"/>
        <v>9</v>
      </c>
      <c r="G34" s="138" t="str">
        <f t="shared" si="13"/>
        <v>4</v>
      </c>
      <c r="H34" s="138" t="str">
        <f t="shared" si="13"/>
        <v>7</v>
      </c>
      <c r="I34" s="138" t="str">
        <f t="shared" si="13"/>
        <v>1</v>
      </c>
      <c r="J34" s="138" t="str">
        <f t="shared" si="13"/>
        <v>F</v>
      </c>
      <c r="K34" s="138" t="str">
        <f t="shared" si="13"/>
        <v>E</v>
      </c>
      <c r="L34" s="138" t="str">
        <f t="shared" si="13"/>
        <v>E</v>
      </c>
      <c r="M34" s="138" t="str">
        <f t="shared" si="13"/>
        <v>7</v>
      </c>
      <c r="N34" s="138" t="str">
        <f t="shared" si="13"/>
        <v>D</v>
      </c>
      <c r="O34" s="138" t="str">
        <f t="shared" si="13"/>
        <v>8</v>
      </c>
      <c r="P34" s="138" t="str">
        <f t="shared" si="13"/>
        <v>D</v>
      </c>
      <c r="Q34" s="138" t="str">
        <f t="shared" si="13"/>
        <v>4</v>
      </c>
      <c r="R34" s="138" t="str">
        <f t="shared" si="13"/>
        <v>0</v>
      </c>
      <c r="S34" s="138" t="str">
        <f t="shared" si="13"/>
        <v>0</v>
      </c>
      <c r="T34" s="138" t="str">
        <f t="shared" si="13"/>
        <v>0</v>
      </c>
      <c r="U34" s="138" t="str">
        <f t="shared" si="13"/>
        <v>0</v>
      </c>
      <c r="V34" s="138" t="str">
        <f t="shared" si="13"/>
        <v>0</v>
      </c>
      <c r="W34" s="138" t="str">
        <f t="shared" si="13"/>
        <v>0</v>
      </c>
      <c r="X34" s="138" t="str">
        <f t="shared" si="13"/>
        <v>0</v>
      </c>
      <c r="Y34" s="138" t="str">
        <f t="shared" si="13"/>
        <v>0</v>
      </c>
      <c r="Z34" s="138" t="str">
        <f t="shared" si="13"/>
        <v>0</v>
      </c>
      <c r="AA34" s="138" t="str">
        <f t="shared" si="13"/>
        <v>0</v>
      </c>
      <c r="AB34" s="138" t="str">
        <f t="shared" si="13"/>
        <v>0</v>
      </c>
      <c r="AC34" s="138" t="str">
        <f t="shared" si="13"/>
        <v>0</v>
      </c>
      <c r="AD34" s="138" t="str">
        <f t="shared" si="13"/>
        <v>0</v>
      </c>
      <c r="AE34" s="138" t="str">
        <f t="shared" si="13"/>
        <v>0</v>
      </c>
      <c r="AF34" s="138" t="str">
        <f t="shared" si="13"/>
        <v>0</v>
      </c>
      <c r="AG34" s="138" t="str">
        <f t="shared" si="13"/>
        <v>2</v>
      </c>
      <c r="AH34" s="138" t="str">
        <f t="shared" si="13"/>
        <v/>
      </c>
      <c r="AI34" s="138" t="str">
        <f t="shared" si="13"/>
        <v/>
      </c>
      <c r="AJ34" s="138" t="str">
        <f t="shared" si="13"/>
        <v/>
      </c>
      <c r="AK34" s="138" t="str">
        <f t="shared" si="13"/>
        <v/>
      </c>
      <c r="AL34" s="138" t="str">
        <f t="shared" si="13"/>
        <v/>
      </c>
      <c r="AM34" s="138" t="str">
        <f t="shared" si="13"/>
        <v/>
      </c>
      <c r="AN34" s="138" t="str">
        <f t="shared" si="13"/>
        <v/>
      </c>
      <c r="AO34" s="138" t="str">
        <f t="shared" si="13"/>
        <v/>
      </c>
      <c r="AP34" s="138" t="str">
        <f t="shared" si="13"/>
        <v/>
      </c>
    </row>
    <row r="35" spans="1:42" s="72" customFormat="1" x14ac:dyDescent="0.25">
      <c r="A35" s="136" t="s">
        <v>28</v>
      </c>
      <c r="B35" s="137" t="str">
        <f>HEX2BIN(B34,4)</f>
        <v>0000</v>
      </c>
      <c r="C35" s="137" t="str">
        <f t="shared" ref="C35:AP35" si="14">HEX2BIN(C34,4)</f>
        <v>0011</v>
      </c>
      <c r="D35" s="137" t="str">
        <f t="shared" si="14"/>
        <v>0100</v>
      </c>
      <c r="E35" s="137" t="str">
        <f t="shared" si="14"/>
        <v>0001</v>
      </c>
      <c r="F35" s="137" t="str">
        <f t="shared" si="14"/>
        <v>1001</v>
      </c>
      <c r="G35" s="137" t="str">
        <f t="shared" si="14"/>
        <v>0100</v>
      </c>
      <c r="H35" s="137" t="str">
        <f t="shared" si="14"/>
        <v>0111</v>
      </c>
      <c r="I35" s="137" t="str">
        <f t="shared" si="14"/>
        <v>0001</v>
      </c>
      <c r="J35" s="137" t="str">
        <f t="shared" si="14"/>
        <v>1111</v>
      </c>
      <c r="K35" s="137" t="str">
        <f t="shared" si="14"/>
        <v>1110</v>
      </c>
      <c r="L35" s="137" t="str">
        <f t="shared" si="14"/>
        <v>1110</v>
      </c>
      <c r="M35" s="137" t="str">
        <f t="shared" si="14"/>
        <v>0111</v>
      </c>
      <c r="N35" s="137" t="str">
        <f t="shared" si="14"/>
        <v>1101</v>
      </c>
      <c r="O35" s="137" t="str">
        <f t="shared" si="14"/>
        <v>1000</v>
      </c>
      <c r="P35" s="137" t="str">
        <f t="shared" si="14"/>
        <v>1101</v>
      </c>
      <c r="Q35" s="137" t="str">
        <f t="shared" si="14"/>
        <v>0100</v>
      </c>
      <c r="R35" s="137" t="str">
        <f t="shared" si="14"/>
        <v>0000</v>
      </c>
      <c r="S35" s="137" t="str">
        <f t="shared" si="14"/>
        <v>0000</v>
      </c>
      <c r="T35" s="137" t="str">
        <f t="shared" si="14"/>
        <v>0000</v>
      </c>
      <c r="U35" s="137" t="str">
        <f t="shared" si="14"/>
        <v>0000</v>
      </c>
      <c r="V35" s="137" t="str">
        <f t="shared" si="14"/>
        <v>0000</v>
      </c>
      <c r="W35" s="137" t="str">
        <f t="shared" si="14"/>
        <v>0000</v>
      </c>
      <c r="X35" s="137" t="str">
        <f t="shared" si="14"/>
        <v>0000</v>
      </c>
      <c r="Y35" s="137" t="str">
        <f t="shared" si="14"/>
        <v>0000</v>
      </c>
      <c r="Z35" s="137" t="str">
        <f t="shared" si="14"/>
        <v>0000</v>
      </c>
      <c r="AA35" s="137" t="str">
        <f t="shared" si="14"/>
        <v>0000</v>
      </c>
      <c r="AB35" s="137" t="str">
        <f t="shared" si="14"/>
        <v>0000</v>
      </c>
      <c r="AC35" s="137" t="str">
        <f t="shared" si="14"/>
        <v>0000</v>
      </c>
      <c r="AD35" s="137" t="str">
        <f t="shared" si="14"/>
        <v>0000</v>
      </c>
      <c r="AE35" s="137" t="str">
        <f t="shared" si="14"/>
        <v>0000</v>
      </c>
      <c r="AF35" s="137" t="str">
        <f t="shared" si="14"/>
        <v>0000</v>
      </c>
      <c r="AG35" s="137" t="str">
        <f t="shared" si="14"/>
        <v>0010</v>
      </c>
      <c r="AH35" s="137" t="str">
        <f t="shared" si="14"/>
        <v>0000</v>
      </c>
      <c r="AI35" s="137" t="str">
        <f t="shared" si="14"/>
        <v>0000</v>
      </c>
      <c r="AJ35" s="137" t="str">
        <f t="shared" si="14"/>
        <v>0000</v>
      </c>
      <c r="AK35" s="137" t="str">
        <f t="shared" si="14"/>
        <v>0000</v>
      </c>
      <c r="AL35" s="137" t="str">
        <f t="shared" si="14"/>
        <v>0000</v>
      </c>
      <c r="AM35" s="137" t="str">
        <f t="shared" si="14"/>
        <v>0000</v>
      </c>
      <c r="AN35" s="137" t="str">
        <f t="shared" si="14"/>
        <v>0000</v>
      </c>
      <c r="AO35" s="137" t="str">
        <f t="shared" si="14"/>
        <v>0000</v>
      </c>
      <c r="AP35" s="137" t="str">
        <f t="shared" si="14"/>
        <v>0000</v>
      </c>
    </row>
    <row r="36" spans="1:42" s="72" customFormat="1" x14ac:dyDescent="0.25"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</row>
    <row r="37" spans="1:42" s="72" customFormat="1" x14ac:dyDescent="0.25">
      <c r="A37" s="192" t="s">
        <v>82</v>
      </c>
      <c r="B37" s="192"/>
      <c r="C37" s="193" t="s">
        <v>30</v>
      </c>
      <c r="D37" s="193"/>
      <c r="E37" s="193"/>
      <c r="F37" s="194" t="s">
        <v>31</v>
      </c>
      <c r="G37" s="194"/>
      <c r="H37" s="193" t="s">
        <v>32</v>
      </c>
      <c r="I37" s="193"/>
      <c r="J37" s="193"/>
      <c r="K37" s="193"/>
      <c r="L37" s="193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</sheetData>
  <sheetProtection algorithmName="SHA-512" hashValue="EDu8rde8jPuoQMGm0dtpOMPdHAr0e+B4qT42LYsp+2cT6/l6A+DA9AiIOqXbzbD7iLJhk8ZDBa3Um8YOlPsnOA==" saltValue="Y0iMtk99pSU8fnCX4WsE1w==" spinCount="100000" sheet="1" objects="1" scenarios="1"/>
  <mergeCells count="15">
    <mergeCell ref="A37:B37"/>
    <mergeCell ref="C37:E37"/>
    <mergeCell ref="F37:G37"/>
    <mergeCell ref="H37:L37"/>
    <mergeCell ref="A2:Z2"/>
    <mergeCell ref="A3:Z3"/>
    <mergeCell ref="A4:Z4"/>
    <mergeCell ref="B5:L5"/>
    <mergeCell ref="B6:L6"/>
    <mergeCell ref="A22:Z22"/>
    <mergeCell ref="A23:Z23"/>
    <mergeCell ref="A25:L25"/>
    <mergeCell ref="A29:L29"/>
    <mergeCell ref="A30:L30"/>
    <mergeCell ref="A32:Z32"/>
  </mergeCells>
  <hyperlinks>
    <hyperlink ref="C37" r:id="rId1" xr:uid="{AF3741D0-3EA4-4154-A82D-F1EEEFFFEEA4}"/>
    <hyperlink ref="H37" r:id="rId2" xr:uid="{1E97FC45-08A3-4E6E-836F-5E2DD34503D2}"/>
  </hyperlinks>
  <pageMargins left="0.25" right="0.25" top="0.75" bottom="0.75" header="0.3" footer="0.3"/>
  <pageSetup paperSize="9" scale="7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6"/>
  <sheetViews>
    <sheetView zoomScale="115" zoomScaleNormal="115" workbookViewId="0">
      <selection activeCell="B4" sqref="B4"/>
    </sheetView>
  </sheetViews>
  <sheetFormatPr defaultColWidth="9.140625" defaultRowHeight="15" x14ac:dyDescent="0.25"/>
  <cols>
    <col min="1" max="1" width="38.5703125" style="1" customWidth="1"/>
    <col min="2" max="2" width="17.85546875" style="2" customWidth="1"/>
    <col min="3" max="3" width="13.28515625" style="1" customWidth="1"/>
    <col min="4" max="4" width="15.42578125" style="1" customWidth="1"/>
    <col min="5" max="5" width="25.140625" style="1" customWidth="1"/>
    <col min="6" max="6" width="13.5703125" style="1" customWidth="1"/>
    <col min="7" max="7" width="14" style="1" bestFit="1" customWidth="1"/>
    <col min="8" max="8" width="28.7109375" style="1" bestFit="1" customWidth="1"/>
    <col min="9" max="9" width="27.7109375" style="1" customWidth="1"/>
    <col min="10" max="10" width="14.28515625" style="1" customWidth="1"/>
    <col min="11" max="11" width="9.5703125" style="1" customWidth="1"/>
    <col min="12" max="12" width="13.28515625" style="1" customWidth="1"/>
    <col min="13" max="13" width="7.85546875" style="1" bestFit="1" customWidth="1"/>
    <col min="14" max="14" width="7.85546875" style="1" customWidth="1"/>
    <col min="15" max="15" width="7.85546875" style="1" bestFit="1" customWidth="1"/>
    <col min="16" max="16" width="13.5703125" style="1" customWidth="1"/>
    <col min="17" max="17" width="11" style="1" bestFit="1" customWidth="1"/>
    <col min="18" max="25" width="5" style="1" customWidth="1"/>
    <col min="26" max="1024" width="9.140625" style="1"/>
  </cols>
  <sheetData>
    <row r="1" spans="1:1024" s="140" customFormat="1" ht="18.75" x14ac:dyDescent="0.25">
      <c r="A1" s="213" t="s">
        <v>126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N1" s="139"/>
      <c r="CO1" s="139"/>
      <c r="CP1" s="139"/>
      <c r="CQ1" s="139"/>
      <c r="CR1" s="139"/>
      <c r="CS1" s="139"/>
      <c r="CT1" s="139"/>
      <c r="CU1" s="139"/>
      <c r="CV1" s="139"/>
      <c r="CW1" s="139"/>
      <c r="CX1" s="139"/>
      <c r="CY1" s="139"/>
      <c r="CZ1" s="139"/>
      <c r="DA1" s="139"/>
      <c r="DB1" s="139"/>
      <c r="DC1" s="139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39"/>
      <c r="DU1" s="139"/>
      <c r="DV1" s="139"/>
      <c r="DW1" s="139"/>
      <c r="DX1" s="139"/>
      <c r="DY1" s="139"/>
      <c r="DZ1" s="139"/>
      <c r="EA1" s="139"/>
      <c r="EB1" s="139"/>
      <c r="EC1" s="139"/>
      <c r="ED1" s="139"/>
      <c r="EE1" s="139"/>
      <c r="EF1" s="139"/>
      <c r="EG1" s="139"/>
      <c r="EH1" s="139"/>
      <c r="EI1" s="139"/>
      <c r="EJ1" s="139"/>
      <c r="EK1" s="139"/>
      <c r="EL1" s="139"/>
      <c r="EM1" s="139"/>
      <c r="EN1" s="139"/>
      <c r="EO1" s="139"/>
      <c r="EP1" s="139"/>
      <c r="EQ1" s="139"/>
      <c r="ER1" s="139"/>
      <c r="ES1" s="139"/>
      <c r="ET1" s="139"/>
      <c r="EU1" s="139"/>
      <c r="EV1" s="139"/>
      <c r="EW1" s="139"/>
      <c r="EX1" s="139"/>
      <c r="EY1" s="139"/>
      <c r="EZ1" s="139"/>
      <c r="FA1" s="139"/>
      <c r="FB1" s="139"/>
      <c r="FC1" s="139"/>
      <c r="FD1" s="139"/>
      <c r="FE1" s="139"/>
      <c r="FF1" s="139"/>
      <c r="FG1" s="139"/>
      <c r="FH1" s="139"/>
      <c r="FI1" s="139"/>
      <c r="FJ1" s="139"/>
      <c r="FK1" s="139"/>
      <c r="FL1" s="139"/>
      <c r="FM1" s="139"/>
      <c r="FN1" s="139"/>
      <c r="FO1" s="139"/>
      <c r="FP1" s="139"/>
      <c r="FQ1" s="139"/>
      <c r="FR1" s="139"/>
      <c r="FS1" s="139"/>
      <c r="FT1" s="139"/>
      <c r="FU1" s="139"/>
      <c r="FV1" s="139"/>
      <c r="FW1" s="139"/>
      <c r="FX1" s="139"/>
      <c r="FY1" s="139"/>
      <c r="FZ1" s="139"/>
      <c r="GA1" s="139"/>
      <c r="GB1" s="139"/>
      <c r="GC1" s="139"/>
      <c r="GD1" s="139"/>
      <c r="GE1" s="139"/>
      <c r="GF1" s="139"/>
      <c r="GG1" s="139"/>
      <c r="GH1" s="139"/>
      <c r="GI1" s="139"/>
      <c r="GJ1" s="139"/>
      <c r="GK1" s="139"/>
      <c r="GL1" s="139"/>
      <c r="GM1" s="139"/>
      <c r="GN1" s="139"/>
      <c r="GO1" s="139"/>
      <c r="GP1" s="139"/>
      <c r="GQ1" s="139"/>
      <c r="GR1" s="139"/>
      <c r="GS1" s="139"/>
      <c r="GT1" s="139"/>
      <c r="GU1" s="139"/>
      <c r="GV1" s="139"/>
      <c r="GW1" s="139"/>
      <c r="GX1" s="139"/>
      <c r="GY1" s="139"/>
      <c r="GZ1" s="139"/>
      <c r="HA1" s="139"/>
      <c r="HB1" s="139"/>
      <c r="HC1" s="139"/>
      <c r="HD1" s="139"/>
      <c r="HE1" s="139"/>
      <c r="HF1" s="139"/>
      <c r="HG1" s="139"/>
      <c r="HH1" s="139"/>
      <c r="HI1" s="139"/>
      <c r="HJ1" s="139"/>
      <c r="HK1" s="139"/>
      <c r="HL1" s="139"/>
      <c r="HM1" s="139"/>
      <c r="HN1" s="139"/>
      <c r="HO1" s="139"/>
      <c r="HP1" s="139"/>
      <c r="HQ1" s="139"/>
      <c r="HR1" s="139"/>
      <c r="HS1" s="139"/>
      <c r="HT1" s="139"/>
      <c r="HU1" s="139"/>
      <c r="HV1" s="139"/>
      <c r="HW1" s="139"/>
      <c r="HX1" s="139"/>
      <c r="HY1" s="139"/>
      <c r="HZ1" s="139"/>
      <c r="IA1" s="139"/>
      <c r="IB1" s="139"/>
      <c r="IC1" s="139"/>
      <c r="ID1" s="139"/>
      <c r="IE1" s="139"/>
      <c r="IF1" s="139"/>
      <c r="IG1" s="139"/>
      <c r="IH1" s="139"/>
      <c r="II1" s="139"/>
      <c r="IJ1" s="139"/>
      <c r="IK1" s="139"/>
      <c r="IL1" s="139"/>
      <c r="IM1" s="139"/>
      <c r="IN1" s="139"/>
      <c r="IO1" s="139"/>
      <c r="IP1" s="139"/>
      <c r="IQ1" s="139"/>
      <c r="IR1" s="139"/>
      <c r="IS1" s="139"/>
      <c r="IT1" s="139"/>
      <c r="IU1" s="139"/>
      <c r="IV1" s="139"/>
      <c r="IW1" s="139"/>
      <c r="IX1" s="139"/>
      <c r="IY1" s="139"/>
      <c r="IZ1" s="139"/>
      <c r="JA1" s="139"/>
      <c r="JB1" s="139"/>
      <c r="JC1" s="139"/>
      <c r="JD1" s="139"/>
      <c r="JE1" s="139"/>
      <c r="JF1" s="139"/>
      <c r="JG1" s="139"/>
      <c r="JH1" s="139"/>
      <c r="JI1" s="139"/>
      <c r="JJ1" s="139"/>
      <c r="JK1" s="139"/>
      <c r="JL1" s="139"/>
      <c r="JM1" s="139"/>
      <c r="JN1" s="139"/>
      <c r="JO1" s="139"/>
      <c r="JP1" s="139"/>
      <c r="JQ1" s="139"/>
      <c r="JR1" s="139"/>
      <c r="JS1" s="139"/>
      <c r="JT1" s="139"/>
      <c r="JU1" s="139"/>
      <c r="JV1" s="139"/>
      <c r="JW1" s="139"/>
      <c r="JX1" s="139"/>
      <c r="JY1" s="139"/>
      <c r="JZ1" s="139"/>
      <c r="KA1" s="139"/>
      <c r="KB1" s="139"/>
      <c r="KC1" s="139"/>
      <c r="KD1" s="139"/>
      <c r="KE1" s="139"/>
      <c r="KF1" s="139"/>
      <c r="KG1" s="139"/>
      <c r="KH1" s="139"/>
      <c r="KI1" s="139"/>
      <c r="KJ1" s="139"/>
      <c r="KK1" s="139"/>
      <c r="KL1" s="139"/>
      <c r="KM1" s="139"/>
      <c r="KN1" s="139"/>
      <c r="KO1" s="139"/>
      <c r="KP1" s="139"/>
      <c r="KQ1" s="139"/>
      <c r="KR1" s="139"/>
      <c r="KS1" s="139"/>
      <c r="KT1" s="139"/>
      <c r="KU1" s="139"/>
      <c r="KV1" s="139"/>
      <c r="KW1" s="139"/>
      <c r="KX1" s="139"/>
      <c r="KY1" s="139"/>
      <c r="KZ1" s="139"/>
      <c r="LA1" s="139"/>
      <c r="LB1" s="139"/>
      <c r="LC1" s="139"/>
      <c r="LD1" s="139"/>
      <c r="LE1" s="139"/>
      <c r="LF1" s="139"/>
      <c r="LG1" s="139"/>
      <c r="LH1" s="139"/>
      <c r="LI1" s="139"/>
      <c r="LJ1" s="139"/>
      <c r="LK1" s="139"/>
      <c r="LL1" s="139"/>
      <c r="LM1" s="139"/>
      <c r="LN1" s="139"/>
      <c r="LO1" s="139"/>
      <c r="LP1" s="139"/>
      <c r="LQ1" s="139"/>
      <c r="LR1" s="139"/>
      <c r="LS1" s="139"/>
      <c r="LT1" s="139"/>
      <c r="LU1" s="139"/>
      <c r="LV1" s="139"/>
      <c r="LW1" s="139"/>
      <c r="LX1" s="139"/>
      <c r="LY1" s="139"/>
      <c r="LZ1" s="139"/>
      <c r="MA1" s="139"/>
      <c r="MB1" s="139"/>
      <c r="MC1" s="139"/>
      <c r="MD1" s="139"/>
      <c r="ME1" s="139"/>
      <c r="MF1" s="139"/>
      <c r="MG1" s="139"/>
      <c r="MH1" s="139"/>
      <c r="MI1" s="139"/>
      <c r="MJ1" s="139"/>
      <c r="MK1" s="139"/>
      <c r="ML1" s="139"/>
      <c r="MM1" s="139"/>
      <c r="MN1" s="139"/>
      <c r="MO1" s="139"/>
      <c r="MP1" s="139"/>
      <c r="MQ1" s="139"/>
      <c r="MR1" s="139"/>
      <c r="MS1" s="139"/>
      <c r="MT1" s="139"/>
      <c r="MU1" s="139"/>
      <c r="MV1" s="139"/>
      <c r="MW1" s="139"/>
      <c r="MX1" s="139"/>
      <c r="MY1" s="139"/>
      <c r="MZ1" s="139"/>
      <c r="NA1" s="139"/>
      <c r="NB1" s="139"/>
      <c r="NC1" s="139"/>
      <c r="ND1" s="139"/>
      <c r="NE1" s="139"/>
      <c r="NF1" s="139"/>
      <c r="NG1" s="139"/>
      <c r="NH1" s="139"/>
      <c r="NI1" s="139"/>
      <c r="NJ1" s="139"/>
      <c r="NK1" s="139"/>
      <c r="NL1" s="139"/>
      <c r="NM1" s="139"/>
      <c r="NN1" s="139"/>
      <c r="NO1" s="139"/>
      <c r="NP1" s="139"/>
      <c r="NQ1" s="139"/>
      <c r="NR1" s="139"/>
      <c r="NS1" s="139"/>
      <c r="NT1" s="139"/>
      <c r="NU1" s="139"/>
      <c r="NV1" s="139"/>
      <c r="NW1" s="139"/>
      <c r="NX1" s="139"/>
      <c r="NY1" s="139"/>
      <c r="NZ1" s="139"/>
      <c r="OA1" s="139"/>
      <c r="OB1" s="139"/>
      <c r="OC1" s="139"/>
      <c r="OD1" s="139"/>
      <c r="OE1" s="139"/>
      <c r="OF1" s="139"/>
      <c r="OG1" s="139"/>
      <c r="OH1" s="139"/>
      <c r="OI1" s="139"/>
      <c r="OJ1" s="139"/>
      <c r="OK1" s="139"/>
      <c r="OL1" s="139"/>
      <c r="OM1" s="139"/>
      <c r="ON1" s="139"/>
      <c r="OO1" s="139"/>
      <c r="OP1" s="139"/>
      <c r="OQ1" s="139"/>
      <c r="OR1" s="139"/>
      <c r="OS1" s="139"/>
      <c r="OT1" s="139"/>
      <c r="OU1" s="139"/>
      <c r="OV1" s="139"/>
      <c r="OW1" s="139"/>
      <c r="OX1" s="139"/>
      <c r="OY1" s="139"/>
      <c r="OZ1" s="139"/>
      <c r="PA1" s="139"/>
      <c r="PB1" s="139"/>
      <c r="PC1" s="139"/>
      <c r="PD1" s="139"/>
      <c r="PE1" s="139"/>
      <c r="PF1" s="139"/>
      <c r="PG1" s="139"/>
      <c r="PH1" s="139"/>
      <c r="PI1" s="139"/>
      <c r="PJ1" s="139"/>
      <c r="PK1" s="139"/>
      <c r="PL1" s="139"/>
      <c r="PM1" s="139"/>
      <c r="PN1" s="139"/>
      <c r="PO1" s="139"/>
      <c r="PP1" s="139"/>
      <c r="PQ1" s="139"/>
      <c r="PR1" s="139"/>
      <c r="PS1" s="139"/>
      <c r="PT1" s="139"/>
      <c r="PU1" s="139"/>
      <c r="PV1" s="139"/>
      <c r="PW1" s="139"/>
      <c r="PX1" s="139"/>
      <c r="PY1" s="139"/>
      <c r="PZ1" s="139"/>
      <c r="QA1" s="139"/>
      <c r="QB1" s="139"/>
      <c r="QC1" s="139"/>
      <c r="QD1" s="139"/>
      <c r="QE1" s="139"/>
      <c r="QF1" s="139"/>
      <c r="QG1" s="139"/>
      <c r="QH1" s="139"/>
      <c r="QI1" s="139"/>
      <c r="QJ1" s="139"/>
      <c r="QK1" s="139"/>
      <c r="QL1" s="139"/>
      <c r="QM1" s="139"/>
      <c r="QN1" s="139"/>
      <c r="QO1" s="139"/>
      <c r="QP1" s="139"/>
      <c r="QQ1" s="139"/>
      <c r="QR1" s="139"/>
      <c r="QS1" s="139"/>
      <c r="QT1" s="139"/>
      <c r="QU1" s="139"/>
      <c r="QV1" s="139"/>
      <c r="QW1" s="139"/>
      <c r="QX1" s="139"/>
      <c r="QY1" s="139"/>
      <c r="QZ1" s="139"/>
      <c r="RA1" s="139"/>
      <c r="RB1" s="139"/>
      <c r="RC1" s="139"/>
      <c r="RD1" s="139"/>
      <c r="RE1" s="139"/>
      <c r="RF1" s="139"/>
      <c r="RG1" s="139"/>
      <c r="RH1" s="139"/>
      <c r="RI1" s="139"/>
      <c r="RJ1" s="139"/>
      <c r="RK1" s="139"/>
      <c r="RL1" s="139"/>
      <c r="RM1" s="139"/>
      <c r="RN1" s="139"/>
      <c r="RO1" s="139"/>
      <c r="RP1" s="139"/>
      <c r="RQ1" s="139"/>
      <c r="RR1" s="139"/>
      <c r="RS1" s="139"/>
      <c r="RT1" s="139"/>
      <c r="RU1" s="139"/>
      <c r="RV1" s="139"/>
      <c r="RW1" s="139"/>
      <c r="RX1" s="139"/>
      <c r="RY1" s="139"/>
      <c r="RZ1" s="139"/>
      <c r="SA1" s="139"/>
      <c r="SB1" s="139"/>
      <c r="SC1" s="139"/>
      <c r="SD1" s="139"/>
      <c r="SE1" s="139"/>
      <c r="SF1" s="139"/>
      <c r="SG1" s="139"/>
      <c r="SH1" s="139"/>
      <c r="SI1" s="139"/>
      <c r="SJ1" s="139"/>
      <c r="SK1" s="139"/>
      <c r="SL1" s="139"/>
      <c r="SM1" s="139"/>
      <c r="SN1" s="139"/>
      <c r="SO1" s="139"/>
      <c r="SP1" s="139"/>
      <c r="SQ1" s="139"/>
      <c r="SR1" s="139"/>
      <c r="SS1" s="139"/>
      <c r="ST1" s="139"/>
      <c r="SU1" s="139"/>
      <c r="SV1" s="139"/>
      <c r="SW1" s="139"/>
      <c r="SX1" s="139"/>
      <c r="SY1" s="139"/>
      <c r="SZ1" s="139"/>
      <c r="TA1" s="139"/>
      <c r="TB1" s="139"/>
      <c r="TC1" s="139"/>
      <c r="TD1" s="139"/>
      <c r="TE1" s="139"/>
      <c r="TF1" s="139"/>
      <c r="TG1" s="139"/>
      <c r="TH1" s="139"/>
      <c r="TI1" s="139"/>
      <c r="TJ1" s="139"/>
      <c r="TK1" s="139"/>
      <c r="TL1" s="139"/>
      <c r="TM1" s="139"/>
      <c r="TN1" s="139"/>
      <c r="TO1" s="139"/>
      <c r="TP1" s="139"/>
      <c r="TQ1" s="139"/>
      <c r="TR1" s="139"/>
      <c r="TS1" s="139"/>
      <c r="TT1" s="139"/>
      <c r="TU1" s="139"/>
      <c r="TV1" s="139"/>
      <c r="TW1" s="139"/>
      <c r="TX1" s="139"/>
      <c r="TY1" s="139"/>
      <c r="TZ1" s="139"/>
      <c r="UA1" s="139"/>
      <c r="UB1" s="139"/>
      <c r="UC1" s="139"/>
      <c r="UD1" s="139"/>
      <c r="UE1" s="139"/>
      <c r="UF1" s="139"/>
      <c r="UG1" s="139"/>
      <c r="UH1" s="139"/>
      <c r="UI1" s="139"/>
      <c r="UJ1" s="139"/>
      <c r="UK1" s="139"/>
      <c r="UL1" s="139"/>
      <c r="UM1" s="139"/>
      <c r="UN1" s="139"/>
      <c r="UO1" s="139"/>
      <c r="UP1" s="139"/>
      <c r="UQ1" s="139"/>
      <c r="UR1" s="139"/>
      <c r="US1" s="139"/>
      <c r="UT1" s="139"/>
      <c r="UU1" s="139"/>
      <c r="UV1" s="139"/>
      <c r="UW1" s="139"/>
      <c r="UX1" s="139"/>
      <c r="UY1" s="139"/>
      <c r="UZ1" s="139"/>
      <c r="VA1" s="139"/>
      <c r="VB1" s="139"/>
      <c r="VC1" s="139"/>
      <c r="VD1" s="139"/>
      <c r="VE1" s="139"/>
      <c r="VF1" s="139"/>
      <c r="VG1" s="139"/>
      <c r="VH1" s="139"/>
      <c r="VI1" s="139"/>
      <c r="VJ1" s="139"/>
      <c r="VK1" s="139"/>
      <c r="VL1" s="139"/>
      <c r="VM1" s="139"/>
      <c r="VN1" s="139"/>
      <c r="VO1" s="139"/>
      <c r="VP1" s="139"/>
      <c r="VQ1" s="139"/>
      <c r="VR1" s="139"/>
      <c r="VS1" s="139"/>
      <c r="VT1" s="139"/>
      <c r="VU1" s="139"/>
      <c r="VV1" s="139"/>
      <c r="VW1" s="139"/>
      <c r="VX1" s="139"/>
      <c r="VY1" s="139"/>
      <c r="VZ1" s="139"/>
      <c r="WA1" s="139"/>
      <c r="WB1" s="139"/>
      <c r="WC1" s="139"/>
      <c r="WD1" s="139"/>
      <c r="WE1" s="139"/>
      <c r="WF1" s="139"/>
      <c r="WG1" s="139"/>
      <c r="WH1" s="139"/>
      <c r="WI1" s="139"/>
      <c r="WJ1" s="139"/>
      <c r="WK1" s="139"/>
      <c r="WL1" s="139"/>
      <c r="WM1" s="139"/>
      <c r="WN1" s="139"/>
      <c r="WO1" s="139"/>
      <c r="WP1" s="139"/>
      <c r="WQ1" s="139"/>
      <c r="WR1" s="139"/>
      <c r="WS1" s="139"/>
      <c r="WT1" s="139"/>
      <c r="WU1" s="139"/>
      <c r="WV1" s="139"/>
      <c r="WW1" s="139"/>
      <c r="WX1" s="139"/>
      <c r="WY1" s="139"/>
      <c r="WZ1" s="139"/>
      <c r="XA1" s="139"/>
      <c r="XB1" s="139"/>
      <c r="XC1" s="139"/>
      <c r="XD1" s="139"/>
      <c r="XE1" s="139"/>
      <c r="XF1" s="139"/>
      <c r="XG1" s="139"/>
      <c r="XH1" s="139"/>
      <c r="XI1" s="139"/>
      <c r="XJ1" s="139"/>
      <c r="XK1" s="139"/>
      <c r="XL1" s="139"/>
      <c r="XM1" s="139"/>
      <c r="XN1" s="139"/>
      <c r="XO1" s="139"/>
      <c r="XP1" s="139"/>
      <c r="XQ1" s="139"/>
      <c r="XR1" s="139"/>
      <c r="XS1" s="139"/>
      <c r="XT1" s="139"/>
      <c r="XU1" s="139"/>
      <c r="XV1" s="139"/>
      <c r="XW1" s="139"/>
      <c r="XX1" s="139"/>
      <c r="XY1" s="139"/>
      <c r="XZ1" s="139"/>
      <c r="YA1" s="139"/>
      <c r="YB1" s="139"/>
      <c r="YC1" s="139"/>
      <c r="YD1" s="139"/>
      <c r="YE1" s="139"/>
      <c r="YF1" s="139"/>
      <c r="YG1" s="139"/>
      <c r="YH1" s="139"/>
      <c r="YI1" s="139"/>
      <c r="YJ1" s="139"/>
      <c r="YK1" s="139"/>
      <c r="YL1" s="139"/>
      <c r="YM1" s="139"/>
      <c r="YN1" s="139"/>
      <c r="YO1" s="139"/>
      <c r="YP1" s="139"/>
      <c r="YQ1" s="139"/>
      <c r="YR1" s="139"/>
      <c r="YS1" s="139"/>
      <c r="YT1" s="139"/>
      <c r="YU1" s="139"/>
      <c r="YV1" s="139"/>
      <c r="YW1" s="139"/>
      <c r="YX1" s="139"/>
      <c r="YY1" s="139"/>
      <c r="YZ1" s="139"/>
      <c r="ZA1" s="139"/>
      <c r="ZB1" s="139"/>
      <c r="ZC1" s="139"/>
      <c r="ZD1" s="139"/>
      <c r="ZE1" s="139"/>
      <c r="ZF1" s="139"/>
      <c r="ZG1" s="139"/>
      <c r="ZH1" s="139"/>
      <c r="ZI1" s="139"/>
      <c r="ZJ1" s="139"/>
      <c r="ZK1" s="139"/>
      <c r="ZL1" s="139"/>
      <c r="ZM1" s="139"/>
      <c r="ZN1" s="139"/>
      <c r="ZO1" s="139"/>
      <c r="ZP1" s="139"/>
      <c r="ZQ1" s="139"/>
      <c r="ZR1" s="139"/>
      <c r="ZS1" s="139"/>
      <c r="ZT1" s="139"/>
      <c r="ZU1" s="139"/>
      <c r="ZV1" s="139"/>
      <c r="ZW1" s="139"/>
      <c r="ZX1" s="139"/>
      <c r="ZY1" s="139"/>
      <c r="ZZ1" s="139"/>
      <c r="AAA1" s="139"/>
      <c r="AAB1" s="139"/>
      <c r="AAC1" s="139"/>
      <c r="AAD1" s="139"/>
      <c r="AAE1" s="139"/>
      <c r="AAF1" s="139"/>
      <c r="AAG1" s="139"/>
      <c r="AAH1" s="139"/>
      <c r="AAI1" s="139"/>
      <c r="AAJ1" s="139"/>
      <c r="AAK1" s="139"/>
      <c r="AAL1" s="139"/>
      <c r="AAM1" s="139"/>
      <c r="AAN1" s="139"/>
      <c r="AAO1" s="139"/>
      <c r="AAP1" s="139"/>
      <c r="AAQ1" s="139"/>
      <c r="AAR1" s="139"/>
      <c r="AAS1" s="139"/>
      <c r="AAT1" s="139"/>
      <c r="AAU1" s="139"/>
      <c r="AAV1" s="139"/>
      <c r="AAW1" s="139"/>
      <c r="AAX1" s="139"/>
      <c r="AAY1" s="139"/>
      <c r="AAZ1" s="139"/>
      <c r="ABA1" s="139"/>
      <c r="ABB1" s="139"/>
      <c r="ABC1" s="139"/>
      <c r="ABD1" s="139"/>
      <c r="ABE1" s="139"/>
      <c r="ABF1" s="139"/>
      <c r="ABG1" s="139"/>
      <c r="ABH1" s="139"/>
      <c r="ABI1" s="139"/>
      <c r="ABJ1" s="139"/>
      <c r="ABK1" s="139"/>
      <c r="ABL1" s="139"/>
      <c r="ABM1" s="139"/>
      <c r="ABN1" s="139"/>
      <c r="ABO1" s="139"/>
      <c r="ABP1" s="139"/>
      <c r="ABQ1" s="139"/>
      <c r="ABR1" s="139"/>
      <c r="ABS1" s="139"/>
      <c r="ABT1" s="139"/>
      <c r="ABU1" s="139"/>
      <c r="ABV1" s="139"/>
      <c r="ABW1" s="139"/>
      <c r="ABX1" s="139"/>
      <c r="ABY1" s="139"/>
      <c r="ABZ1" s="139"/>
      <c r="ACA1" s="139"/>
      <c r="ACB1" s="139"/>
      <c r="ACC1" s="139"/>
      <c r="ACD1" s="139"/>
      <c r="ACE1" s="139"/>
      <c r="ACF1" s="139"/>
      <c r="ACG1" s="139"/>
      <c r="ACH1" s="139"/>
      <c r="ACI1" s="139"/>
      <c r="ACJ1" s="139"/>
      <c r="ACK1" s="139"/>
      <c r="ACL1" s="139"/>
      <c r="ACM1" s="139"/>
      <c r="ACN1" s="139"/>
      <c r="ACO1" s="139"/>
      <c r="ACP1" s="139"/>
      <c r="ACQ1" s="139"/>
      <c r="ACR1" s="139"/>
      <c r="ACS1" s="139"/>
      <c r="ACT1" s="139"/>
      <c r="ACU1" s="139"/>
      <c r="ACV1" s="139"/>
      <c r="ACW1" s="139"/>
      <c r="ACX1" s="139"/>
      <c r="ACY1" s="139"/>
      <c r="ACZ1" s="139"/>
      <c r="ADA1" s="139"/>
      <c r="ADB1" s="139"/>
      <c r="ADC1" s="139"/>
      <c r="ADD1" s="139"/>
      <c r="ADE1" s="139"/>
      <c r="ADF1" s="139"/>
      <c r="ADG1" s="139"/>
      <c r="ADH1" s="139"/>
      <c r="ADI1" s="139"/>
      <c r="ADJ1" s="139"/>
      <c r="ADK1" s="139"/>
      <c r="ADL1" s="139"/>
      <c r="ADM1" s="139"/>
      <c r="ADN1" s="139"/>
      <c r="ADO1" s="139"/>
      <c r="ADP1" s="139"/>
      <c r="ADQ1" s="139"/>
      <c r="ADR1" s="139"/>
      <c r="ADS1" s="139"/>
      <c r="ADT1" s="139"/>
      <c r="ADU1" s="139"/>
      <c r="ADV1" s="139"/>
      <c r="ADW1" s="139"/>
      <c r="ADX1" s="139"/>
      <c r="ADY1" s="139"/>
      <c r="ADZ1" s="139"/>
      <c r="AEA1" s="139"/>
      <c r="AEB1" s="139"/>
      <c r="AEC1" s="139"/>
      <c r="AED1" s="139"/>
      <c r="AEE1" s="139"/>
      <c r="AEF1" s="139"/>
      <c r="AEG1" s="139"/>
      <c r="AEH1" s="139"/>
      <c r="AEI1" s="139"/>
      <c r="AEJ1" s="139"/>
      <c r="AEK1" s="139"/>
      <c r="AEL1" s="139"/>
      <c r="AEM1" s="139"/>
      <c r="AEN1" s="139"/>
      <c r="AEO1" s="139"/>
      <c r="AEP1" s="139"/>
      <c r="AEQ1" s="139"/>
      <c r="AER1" s="139"/>
      <c r="AES1" s="139"/>
      <c r="AET1" s="139"/>
      <c r="AEU1" s="139"/>
      <c r="AEV1" s="139"/>
      <c r="AEW1" s="139"/>
      <c r="AEX1" s="139"/>
      <c r="AEY1" s="139"/>
      <c r="AEZ1" s="139"/>
      <c r="AFA1" s="139"/>
      <c r="AFB1" s="139"/>
      <c r="AFC1" s="139"/>
      <c r="AFD1" s="139"/>
      <c r="AFE1" s="139"/>
      <c r="AFF1" s="139"/>
      <c r="AFG1" s="139"/>
      <c r="AFH1" s="139"/>
      <c r="AFI1" s="139"/>
      <c r="AFJ1" s="139"/>
      <c r="AFK1" s="139"/>
      <c r="AFL1" s="139"/>
      <c r="AFM1" s="139"/>
      <c r="AFN1" s="139"/>
      <c r="AFO1" s="139"/>
      <c r="AFP1" s="139"/>
      <c r="AFQ1" s="139"/>
      <c r="AFR1" s="139"/>
      <c r="AFS1" s="139"/>
      <c r="AFT1" s="139"/>
      <c r="AFU1" s="139"/>
      <c r="AFV1" s="139"/>
      <c r="AFW1" s="139"/>
      <c r="AFX1" s="139"/>
      <c r="AFY1" s="139"/>
      <c r="AFZ1" s="139"/>
      <c r="AGA1" s="139"/>
      <c r="AGB1" s="139"/>
      <c r="AGC1" s="139"/>
      <c r="AGD1" s="139"/>
      <c r="AGE1" s="139"/>
      <c r="AGF1" s="139"/>
      <c r="AGG1" s="139"/>
      <c r="AGH1" s="139"/>
      <c r="AGI1" s="139"/>
      <c r="AGJ1" s="139"/>
      <c r="AGK1" s="139"/>
      <c r="AGL1" s="139"/>
      <c r="AGM1" s="139"/>
      <c r="AGN1" s="139"/>
      <c r="AGO1" s="139"/>
      <c r="AGP1" s="139"/>
      <c r="AGQ1" s="139"/>
      <c r="AGR1" s="139"/>
      <c r="AGS1" s="139"/>
      <c r="AGT1" s="139"/>
      <c r="AGU1" s="139"/>
      <c r="AGV1" s="139"/>
      <c r="AGW1" s="139"/>
      <c r="AGX1" s="139"/>
      <c r="AGY1" s="139"/>
      <c r="AGZ1" s="139"/>
      <c r="AHA1" s="139"/>
      <c r="AHB1" s="139"/>
      <c r="AHC1" s="139"/>
      <c r="AHD1" s="139"/>
      <c r="AHE1" s="139"/>
      <c r="AHF1" s="139"/>
      <c r="AHG1" s="139"/>
      <c r="AHH1" s="139"/>
      <c r="AHI1" s="139"/>
      <c r="AHJ1" s="139"/>
      <c r="AHK1" s="139"/>
      <c r="AHL1" s="139"/>
      <c r="AHM1" s="139"/>
      <c r="AHN1" s="139"/>
      <c r="AHO1" s="139"/>
      <c r="AHP1" s="139"/>
      <c r="AHQ1" s="139"/>
      <c r="AHR1" s="139"/>
      <c r="AHS1" s="139"/>
      <c r="AHT1" s="139"/>
      <c r="AHU1" s="139"/>
      <c r="AHV1" s="139"/>
      <c r="AHW1" s="139"/>
      <c r="AHX1" s="139"/>
      <c r="AHY1" s="139"/>
      <c r="AHZ1" s="139"/>
      <c r="AIA1" s="139"/>
      <c r="AIB1" s="139"/>
      <c r="AIC1" s="139"/>
      <c r="AID1" s="139"/>
      <c r="AIE1" s="139"/>
      <c r="AIF1" s="139"/>
      <c r="AIG1" s="139"/>
      <c r="AIH1" s="139"/>
      <c r="AII1" s="139"/>
      <c r="AIJ1" s="139"/>
      <c r="AIK1" s="139"/>
      <c r="AIL1" s="139"/>
      <c r="AIM1" s="139"/>
      <c r="AIN1" s="139"/>
      <c r="AIO1" s="139"/>
      <c r="AIP1" s="139"/>
      <c r="AIQ1" s="139"/>
      <c r="AIR1" s="139"/>
      <c r="AIS1" s="139"/>
      <c r="AIT1" s="139"/>
      <c r="AIU1" s="139"/>
      <c r="AIV1" s="139"/>
      <c r="AIW1" s="139"/>
      <c r="AIX1" s="139"/>
      <c r="AIY1" s="139"/>
      <c r="AIZ1" s="139"/>
      <c r="AJA1" s="139"/>
      <c r="AJB1" s="139"/>
      <c r="AJC1" s="139"/>
      <c r="AJD1" s="139"/>
      <c r="AJE1" s="139"/>
      <c r="AJF1" s="139"/>
      <c r="AJG1" s="139"/>
      <c r="AJH1" s="139"/>
      <c r="AJI1" s="139"/>
      <c r="AJJ1" s="139"/>
      <c r="AJK1" s="139"/>
      <c r="AJL1" s="139"/>
      <c r="AJM1" s="139"/>
      <c r="AJN1" s="139"/>
      <c r="AJO1" s="139"/>
      <c r="AJP1" s="139"/>
      <c r="AJQ1" s="139"/>
      <c r="AJR1" s="139"/>
      <c r="AJS1" s="139"/>
      <c r="AJT1" s="139"/>
      <c r="AJU1" s="139"/>
      <c r="AJV1" s="139"/>
      <c r="AJW1" s="139"/>
      <c r="AJX1" s="139"/>
      <c r="AJY1" s="139"/>
      <c r="AJZ1" s="139"/>
      <c r="AKA1" s="139"/>
      <c r="AKB1" s="139"/>
      <c r="AKC1" s="139"/>
      <c r="AKD1" s="139"/>
      <c r="AKE1" s="139"/>
      <c r="AKF1" s="139"/>
      <c r="AKG1" s="139"/>
      <c r="AKH1" s="139"/>
      <c r="AKI1" s="139"/>
      <c r="AKJ1" s="139"/>
      <c r="AKK1" s="139"/>
      <c r="AKL1" s="139"/>
      <c r="AKM1" s="139"/>
      <c r="AKN1" s="139"/>
      <c r="AKO1" s="139"/>
      <c r="AKP1" s="139"/>
      <c r="AKQ1" s="139"/>
      <c r="AKR1" s="139"/>
      <c r="AKS1" s="139"/>
      <c r="AKT1" s="139"/>
      <c r="AKU1" s="139"/>
      <c r="AKV1" s="139"/>
      <c r="AKW1" s="139"/>
      <c r="AKX1" s="139"/>
      <c r="AKY1" s="139"/>
      <c r="AKZ1" s="139"/>
      <c r="ALA1" s="139"/>
      <c r="ALB1" s="139"/>
      <c r="ALC1" s="139"/>
      <c r="ALD1" s="139"/>
      <c r="ALE1" s="139"/>
      <c r="ALF1" s="139"/>
      <c r="ALG1" s="139"/>
      <c r="ALH1" s="139"/>
      <c r="ALI1" s="139"/>
      <c r="ALJ1" s="139"/>
      <c r="ALK1" s="139"/>
      <c r="ALL1" s="139"/>
      <c r="ALM1" s="139"/>
      <c r="ALN1" s="139"/>
      <c r="ALO1" s="139"/>
      <c r="ALP1" s="139"/>
      <c r="ALQ1" s="139"/>
      <c r="ALR1" s="139"/>
      <c r="ALS1" s="139"/>
      <c r="ALT1" s="139"/>
      <c r="ALU1" s="139"/>
      <c r="ALV1" s="139"/>
      <c r="ALW1" s="139"/>
      <c r="ALX1" s="139"/>
      <c r="ALY1" s="139"/>
      <c r="ALZ1" s="139"/>
      <c r="AMA1" s="139"/>
      <c r="AMB1" s="139"/>
      <c r="AMC1" s="139"/>
      <c r="AMD1" s="139"/>
      <c r="AME1" s="139"/>
      <c r="AMF1" s="139"/>
      <c r="AMG1" s="139"/>
      <c r="AMH1" s="139"/>
      <c r="AMI1" s="139"/>
      <c r="AMJ1" s="139"/>
    </row>
    <row r="2" spans="1:1024" s="140" customFormat="1" ht="34.5" customHeight="1" x14ac:dyDescent="0.25">
      <c r="A2" s="214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39"/>
      <c r="GB2" s="139"/>
      <c r="GC2" s="139"/>
      <c r="GD2" s="139"/>
      <c r="GE2" s="139"/>
      <c r="GF2" s="139"/>
      <c r="GG2" s="139"/>
      <c r="GH2" s="139"/>
      <c r="GI2" s="139"/>
      <c r="GJ2" s="139"/>
      <c r="GK2" s="139"/>
      <c r="GL2" s="139"/>
      <c r="GM2" s="139"/>
      <c r="GN2" s="139"/>
      <c r="GO2" s="139"/>
      <c r="GP2" s="139"/>
      <c r="GQ2" s="139"/>
      <c r="GR2" s="139"/>
      <c r="GS2" s="139"/>
      <c r="GT2" s="139"/>
      <c r="GU2" s="139"/>
      <c r="GV2" s="139"/>
      <c r="GW2" s="139"/>
      <c r="GX2" s="139"/>
      <c r="GY2" s="139"/>
      <c r="GZ2" s="139"/>
      <c r="HA2" s="139"/>
      <c r="HB2" s="139"/>
      <c r="HC2" s="139"/>
      <c r="HD2" s="139"/>
      <c r="HE2" s="139"/>
      <c r="HF2" s="139"/>
      <c r="HG2" s="139"/>
      <c r="HH2" s="139"/>
      <c r="HI2" s="139"/>
      <c r="HJ2" s="139"/>
      <c r="HK2" s="139"/>
      <c r="HL2" s="139"/>
      <c r="HM2" s="139"/>
      <c r="HN2" s="139"/>
      <c r="HO2" s="139"/>
      <c r="HP2" s="139"/>
      <c r="HQ2" s="139"/>
      <c r="HR2" s="139"/>
      <c r="HS2" s="139"/>
      <c r="HT2" s="139"/>
      <c r="HU2" s="139"/>
      <c r="HV2" s="139"/>
      <c r="HW2" s="139"/>
      <c r="HX2" s="139"/>
      <c r="HY2" s="139"/>
      <c r="HZ2" s="139"/>
      <c r="IA2" s="139"/>
      <c r="IB2" s="139"/>
      <c r="IC2" s="139"/>
      <c r="ID2" s="139"/>
      <c r="IE2" s="139"/>
      <c r="IF2" s="139"/>
      <c r="IG2" s="139"/>
      <c r="IH2" s="139"/>
      <c r="II2" s="139"/>
      <c r="IJ2" s="139"/>
      <c r="IK2" s="139"/>
      <c r="IL2" s="139"/>
      <c r="IM2" s="139"/>
      <c r="IN2" s="139"/>
      <c r="IO2" s="139"/>
      <c r="IP2" s="139"/>
      <c r="IQ2" s="139"/>
      <c r="IR2" s="139"/>
      <c r="IS2" s="139"/>
      <c r="IT2" s="139"/>
      <c r="IU2" s="139"/>
      <c r="IV2" s="139"/>
      <c r="IW2" s="139"/>
      <c r="IX2" s="139"/>
      <c r="IY2" s="139"/>
      <c r="IZ2" s="139"/>
      <c r="JA2" s="139"/>
      <c r="JB2" s="139"/>
      <c r="JC2" s="139"/>
      <c r="JD2" s="139"/>
      <c r="JE2" s="139"/>
      <c r="JF2" s="139"/>
      <c r="JG2" s="139"/>
      <c r="JH2" s="139"/>
      <c r="JI2" s="139"/>
      <c r="JJ2" s="139"/>
      <c r="JK2" s="139"/>
      <c r="JL2" s="139"/>
      <c r="JM2" s="139"/>
      <c r="JN2" s="139"/>
      <c r="JO2" s="139"/>
      <c r="JP2" s="139"/>
      <c r="JQ2" s="139"/>
      <c r="JR2" s="139"/>
      <c r="JS2" s="139"/>
      <c r="JT2" s="139"/>
      <c r="JU2" s="139"/>
      <c r="JV2" s="139"/>
      <c r="JW2" s="139"/>
      <c r="JX2" s="139"/>
      <c r="JY2" s="139"/>
      <c r="JZ2" s="139"/>
      <c r="KA2" s="139"/>
      <c r="KB2" s="139"/>
      <c r="KC2" s="139"/>
      <c r="KD2" s="139"/>
      <c r="KE2" s="139"/>
      <c r="KF2" s="139"/>
      <c r="KG2" s="139"/>
      <c r="KH2" s="139"/>
      <c r="KI2" s="139"/>
      <c r="KJ2" s="139"/>
      <c r="KK2" s="139"/>
      <c r="KL2" s="139"/>
      <c r="KM2" s="139"/>
      <c r="KN2" s="139"/>
      <c r="KO2" s="139"/>
      <c r="KP2" s="139"/>
      <c r="KQ2" s="139"/>
      <c r="KR2" s="139"/>
      <c r="KS2" s="139"/>
      <c r="KT2" s="139"/>
      <c r="KU2" s="139"/>
      <c r="KV2" s="139"/>
      <c r="KW2" s="139"/>
      <c r="KX2" s="139"/>
      <c r="KY2" s="139"/>
      <c r="KZ2" s="139"/>
      <c r="LA2" s="139"/>
      <c r="LB2" s="139"/>
      <c r="LC2" s="139"/>
      <c r="LD2" s="139"/>
      <c r="LE2" s="139"/>
      <c r="LF2" s="139"/>
      <c r="LG2" s="139"/>
      <c r="LH2" s="139"/>
      <c r="LI2" s="139"/>
      <c r="LJ2" s="139"/>
      <c r="LK2" s="139"/>
      <c r="LL2" s="139"/>
      <c r="LM2" s="139"/>
      <c r="LN2" s="139"/>
      <c r="LO2" s="139"/>
      <c r="LP2" s="139"/>
      <c r="LQ2" s="139"/>
      <c r="LR2" s="139"/>
      <c r="LS2" s="139"/>
      <c r="LT2" s="139"/>
      <c r="LU2" s="139"/>
      <c r="LV2" s="139"/>
      <c r="LW2" s="139"/>
      <c r="LX2" s="139"/>
      <c r="LY2" s="139"/>
      <c r="LZ2" s="139"/>
      <c r="MA2" s="139"/>
      <c r="MB2" s="139"/>
      <c r="MC2" s="139"/>
      <c r="MD2" s="139"/>
      <c r="ME2" s="139"/>
      <c r="MF2" s="139"/>
      <c r="MG2" s="139"/>
      <c r="MH2" s="139"/>
      <c r="MI2" s="139"/>
      <c r="MJ2" s="139"/>
      <c r="MK2" s="139"/>
      <c r="ML2" s="139"/>
      <c r="MM2" s="139"/>
      <c r="MN2" s="139"/>
      <c r="MO2" s="139"/>
      <c r="MP2" s="139"/>
      <c r="MQ2" s="139"/>
      <c r="MR2" s="139"/>
      <c r="MS2" s="139"/>
      <c r="MT2" s="139"/>
      <c r="MU2" s="139"/>
      <c r="MV2" s="139"/>
      <c r="MW2" s="139"/>
      <c r="MX2" s="139"/>
      <c r="MY2" s="139"/>
      <c r="MZ2" s="139"/>
      <c r="NA2" s="139"/>
      <c r="NB2" s="139"/>
      <c r="NC2" s="139"/>
      <c r="ND2" s="139"/>
      <c r="NE2" s="139"/>
      <c r="NF2" s="139"/>
      <c r="NG2" s="139"/>
      <c r="NH2" s="139"/>
      <c r="NI2" s="139"/>
      <c r="NJ2" s="139"/>
      <c r="NK2" s="139"/>
      <c r="NL2" s="139"/>
      <c r="NM2" s="139"/>
      <c r="NN2" s="139"/>
      <c r="NO2" s="139"/>
      <c r="NP2" s="139"/>
      <c r="NQ2" s="139"/>
      <c r="NR2" s="139"/>
      <c r="NS2" s="139"/>
      <c r="NT2" s="139"/>
      <c r="NU2" s="139"/>
      <c r="NV2" s="139"/>
      <c r="NW2" s="139"/>
      <c r="NX2" s="139"/>
      <c r="NY2" s="139"/>
      <c r="NZ2" s="139"/>
      <c r="OA2" s="139"/>
      <c r="OB2" s="139"/>
      <c r="OC2" s="139"/>
      <c r="OD2" s="139"/>
      <c r="OE2" s="139"/>
      <c r="OF2" s="139"/>
      <c r="OG2" s="139"/>
      <c r="OH2" s="139"/>
      <c r="OI2" s="139"/>
      <c r="OJ2" s="139"/>
      <c r="OK2" s="139"/>
      <c r="OL2" s="139"/>
      <c r="OM2" s="139"/>
      <c r="ON2" s="139"/>
      <c r="OO2" s="139"/>
      <c r="OP2" s="139"/>
      <c r="OQ2" s="139"/>
      <c r="OR2" s="139"/>
      <c r="OS2" s="139"/>
      <c r="OT2" s="139"/>
      <c r="OU2" s="139"/>
      <c r="OV2" s="139"/>
      <c r="OW2" s="139"/>
      <c r="OX2" s="139"/>
      <c r="OY2" s="139"/>
      <c r="OZ2" s="139"/>
      <c r="PA2" s="139"/>
      <c r="PB2" s="139"/>
      <c r="PC2" s="139"/>
      <c r="PD2" s="139"/>
      <c r="PE2" s="139"/>
      <c r="PF2" s="139"/>
      <c r="PG2" s="139"/>
      <c r="PH2" s="139"/>
      <c r="PI2" s="139"/>
      <c r="PJ2" s="139"/>
      <c r="PK2" s="139"/>
      <c r="PL2" s="139"/>
      <c r="PM2" s="139"/>
      <c r="PN2" s="139"/>
      <c r="PO2" s="139"/>
      <c r="PP2" s="139"/>
      <c r="PQ2" s="139"/>
      <c r="PR2" s="139"/>
      <c r="PS2" s="139"/>
      <c r="PT2" s="139"/>
      <c r="PU2" s="139"/>
      <c r="PV2" s="139"/>
      <c r="PW2" s="139"/>
      <c r="PX2" s="139"/>
      <c r="PY2" s="139"/>
      <c r="PZ2" s="139"/>
      <c r="QA2" s="139"/>
      <c r="QB2" s="139"/>
      <c r="QC2" s="139"/>
      <c r="QD2" s="139"/>
      <c r="QE2" s="139"/>
      <c r="QF2" s="139"/>
      <c r="QG2" s="139"/>
      <c r="QH2" s="139"/>
      <c r="QI2" s="139"/>
      <c r="QJ2" s="139"/>
      <c r="QK2" s="139"/>
      <c r="QL2" s="139"/>
      <c r="QM2" s="139"/>
      <c r="QN2" s="139"/>
      <c r="QO2" s="139"/>
      <c r="QP2" s="139"/>
      <c r="QQ2" s="139"/>
      <c r="QR2" s="139"/>
      <c r="QS2" s="139"/>
      <c r="QT2" s="139"/>
      <c r="QU2" s="139"/>
      <c r="QV2" s="139"/>
      <c r="QW2" s="139"/>
      <c r="QX2" s="139"/>
      <c r="QY2" s="139"/>
      <c r="QZ2" s="139"/>
      <c r="RA2" s="139"/>
      <c r="RB2" s="139"/>
      <c r="RC2" s="139"/>
      <c r="RD2" s="139"/>
      <c r="RE2" s="139"/>
      <c r="RF2" s="139"/>
      <c r="RG2" s="139"/>
      <c r="RH2" s="139"/>
      <c r="RI2" s="139"/>
      <c r="RJ2" s="139"/>
      <c r="RK2" s="139"/>
      <c r="RL2" s="139"/>
      <c r="RM2" s="139"/>
      <c r="RN2" s="139"/>
      <c r="RO2" s="139"/>
      <c r="RP2" s="139"/>
      <c r="RQ2" s="139"/>
      <c r="RR2" s="139"/>
      <c r="RS2" s="139"/>
      <c r="RT2" s="139"/>
      <c r="RU2" s="139"/>
      <c r="RV2" s="139"/>
      <c r="RW2" s="139"/>
      <c r="RX2" s="139"/>
      <c r="RY2" s="139"/>
      <c r="RZ2" s="139"/>
      <c r="SA2" s="139"/>
      <c r="SB2" s="139"/>
      <c r="SC2" s="139"/>
      <c r="SD2" s="139"/>
      <c r="SE2" s="139"/>
      <c r="SF2" s="139"/>
      <c r="SG2" s="139"/>
      <c r="SH2" s="139"/>
      <c r="SI2" s="139"/>
      <c r="SJ2" s="139"/>
      <c r="SK2" s="139"/>
      <c r="SL2" s="139"/>
      <c r="SM2" s="139"/>
      <c r="SN2" s="139"/>
      <c r="SO2" s="139"/>
      <c r="SP2" s="139"/>
      <c r="SQ2" s="139"/>
      <c r="SR2" s="139"/>
      <c r="SS2" s="139"/>
      <c r="ST2" s="139"/>
      <c r="SU2" s="139"/>
      <c r="SV2" s="139"/>
      <c r="SW2" s="139"/>
      <c r="SX2" s="139"/>
      <c r="SY2" s="139"/>
      <c r="SZ2" s="139"/>
      <c r="TA2" s="139"/>
      <c r="TB2" s="139"/>
      <c r="TC2" s="139"/>
      <c r="TD2" s="139"/>
      <c r="TE2" s="139"/>
      <c r="TF2" s="139"/>
      <c r="TG2" s="139"/>
      <c r="TH2" s="139"/>
      <c r="TI2" s="139"/>
      <c r="TJ2" s="139"/>
      <c r="TK2" s="139"/>
      <c r="TL2" s="139"/>
      <c r="TM2" s="139"/>
      <c r="TN2" s="139"/>
      <c r="TO2" s="139"/>
      <c r="TP2" s="139"/>
      <c r="TQ2" s="139"/>
      <c r="TR2" s="139"/>
      <c r="TS2" s="139"/>
      <c r="TT2" s="139"/>
      <c r="TU2" s="139"/>
      <c r="TV2" s="139"/>
      <c r="TW2" s="139"/>
      <c r="TX2" s="139"/>
      <c r="TY2" s="139"/>
      <c r="TZ2" s="139"/>
      <c r="UA2" s="139"/>
      <c r="UB2" s="139"/>
      <c r="UC2" s="139"/>
      <c r="UD2" s="139"/>
      <c r="UE2" s="139"/>
      <c r="UF2" s="139"/>
      <c r="UG2" s="139"/>
      <c r="UH2" s="139"/>
      <c r="UI2" s="139"/>
      <c r="UJ2" s="139"/>
      <c r="UK2" s="139"/>
      <c r="UL2" s="139"/>
      <c r="UM2" s="139"/>
      <c r="UN2" s="139"/>
      <c r="UO2" s="139"/>
      <c r="UP2" s="139"/>
      <c r="UQ2" s="139"/>
      <c r="UR2" s="139"/>
      <c r="US2" s="139"/>
      <c r="UT2" s="139"/>
      <c r="UU2" s="139"/>
      <c r="UV2" s="139"/>
      <c r="UW2" s="139"/>
      <c r="UX2" s="139"/>
      <c r="UY2" s="139"/>
      <c r="UZ2" s="139"/>
      <c r="VA2" s="139"/>
      <c r="VB2" s="139"/>
      <c r="VC2" s="139"/>
      <c r="VD2" s="139"/>
      <c r="VE2" s="139"/>
      <c r="VF2" s="139"/>
      <c r="VG2" s="139"/>
      <c r="VH2" s="139"/>
      <c r="VI2" s="139"/>
      <c r="VJ2" s="139"/>
      <c r="VK2" s="139"/>
      <c r="VL2" s="139"/>
      <c r="VM2" s="139"/>
      <c r="VN2" s="139"/>
      <c r="VO2" s="139"/>
      <c r="VP2" s="139"/>
      <c r="VQ2" s="139"/>
      <c r="VR2" s="139"/>
      <c r="VS2" s="139"/>
      <c r="VT2" s="139"/>
      <c r="VU2" s="139"/>
      <c r="VV2" s="139"/>
      <c r="VW2" s="139"/>
      <c r="VX2" s="139"/>
      <c r="VY2" s="139"/>
      <c r="VZ2" s="139"/>
      <c r="WA2" s="139"/>
      <c r="WB2" s="139"/>
      <c r="WC2" s="139"/>
      <c r="WD2" s="139"/>
      <c r="WE2" s="139"/>
      <c r="WF2" s="139"/>
      <c r="WG2" s="139"/>
      <c r="WH2" s="139"/>
      <c r="WI2" s="139"/>
      <c r="WJ2" s="139"/>
      <c r="WK2" s="139"/>
      <c r="WL2" s="139"/>
      <c r="WM2" s="139"/>
      <c r="WN2" s="139"/>
      <c r="WO2" s="139"/>
      <c r="WP2" s="139"/>
      <c r="WQ2" s="139"/>
      <c r="WR2" s="139"/>
      <c r="WS2" s="139"/>
      <c r="WT2" s="139"/>
      <c r="WU2" s="139"/>
      <c r="WV2" s="139"/>
      <c r="WW2" s="139"/>
      <c r="WX2" s="139"/>
      <c r="WY2" s="139"/>
      <c r="WZ2" s="139"/>
      <c r="XA2" s="139"/>
      <c r="XB2" s="139"/>
      <c r="XC2" s="139"/>
      <c r="XD2" s="139"/>
      <c r="XE2" s="139"/>
      <c r="XF2" s="139"/>
      <c r="XG2" s="139"/>
      <c r="XH2" s="139"/>
      <c r="XI2" s="139"/>
      <c r="XJ2" s="139"/>
      <c r="XK2" s="139"/>
      <c r="XL2" s="139"/>
      <c r="XM2" s="139"/>
      <c r="XN2" s="139"/>
      <c r="XO2" s="139"/>
      <c r="XP2" s="139"/>
      <c r="XQ2" s="139"/>
      <c r="XR2" s="139"/>
      <c r="XS2" s="139"/>
      <c r="XT2" s="139"/>
      <c r="XU2" s="139"/>
      <c r="XV2" s="139"/>
      <c r="XW2" s="139"/>
      <c r="XX2" s="139"/>
      <c r="XY2" s="139"/>
      <c r="XZ2" s="139"/>
      <c r="YA2" s="139"/>
      <c r="YB2" s="139"/>
      <c r="YC2" s="139"/>
      <c r="YD2" s="139"/>
      <c r="YE2" s="139"/>
      <c r="YF2" s="139"/>
      <c r="YG2" s="139"/>
      <c r="YH2" s="139"/>
      <c r="YI2" s="139"/>
      <c r="YJ2" s="139"/>
      <c r="YK2" s="139"/>
      <c r="YL2" s="139"/>
      <c r="YM2" s="139"/>
      <c r="YN2" s="139"/>
      <c r="YO2" s="139"/>
      <c r="YP2" s="139"/>
      <c r="YQ2" s="139"/>
      <c r="YR2" s="139"/>
      <c r="YS2" s="139"/>
      <c r="YT2" s="139"/>
      <c r="YU2" s="139"/>
      <c r="YV2" s="139"/>
      <c r="YW2" s="139"/>
      <c r="YX2" s="139"/>
      <c r="YY2" s="139"/>
      <c r="YZ2" s="139"/>
      <c r="ZA2" s="139"/>
      <c r="ZB2" s="139"/>
      <c r="ZC2" s="139"/>
      <c r="ZD2" s="139"/>
      <c r="ZE2" s="139"/>
      <c r="ZF2" s="139"/>
      <c r="ZG2" s="139"/>
      <c r="ZH2" s="139"/>
      <c r="ZI2" s="139"/>
      <c r="ZJ2" s="139"/>
      <c r="ZK2" s="139"/>
      <c r="ZL2" s="139"/>
      <c r="ZM2" s="139"/>
      <c r="ZN2" s="139"/>
      <c r="ZO2" s="139"/>
      <c r="ZP2" s="139"/>
      <c r="ZQ2" s="139"/>
      <c r="ZR2" s="139"/>
      <c r="ZS2" s="139"/>
      <c r="ZT2" s="139"/>
      <c r="ZU2" s="139"/>
      <c r="ZV2" s="139"/>
      <c r="ZW2" s="139"/>
      <c r="ZX2" s="139"/>
      <c r="ZY2" s="139"/>
      <c r="ZZ2" s="139"/>
      <c r="AAA2" s="139"/>
      <c r="AAB2" s="139"/>
      <c r="AAC2" s="139"/>
      <c r="AAD2" s="139"/>
      <c r="AAE2" s="139"/>
      <c r="AAF2" s="139"/>
      <c r="AAG2" s="139"/>
      <c r="AAH2" s="139"/>
      <c r="AAI2" s="139"/>
      <c r="AAJ2" s="139"/>
      <c r="AAK2" s="139"/>
      <c r="AAL2" s="139"/>
      <c r="AAM2" s="139"/>
      <c r="AAN2" s="139"/>
      <c r="AAO2" s="139"/>
      <c r="AAP2" s="139"/>
      <c r="AAQ2" s="139"/>
      <c r="AAR2" s="139"/>
      <c r="AAS2" s="139"/>
      <c r="AAT2" s="139"/>
      <c r="AAU2" s="139"/>
      <c r="AAV2" s="139"/>
      <c r="AAW2" s="139"/>
      <c r="AAX2" s="139"/>
      <c r="AAY2" s="139"/>
      <c r="AAZ2" s="139"/>
      <c r="ABA2" s="139"/>
      <c r="ABB2" s="139"/>
      <c r="ABC2" s="139"/>
      <c r="ABD2" s="139"/>
      <c r="ABE2" s="139"/>
      <c r="ABF2" s="139"/>
      <c r="ABG2" s="139"/>
      <c r="ABH2" s="139"/>
      <c r="ABI2" s="139"/>
      <c r="ABJ2" s="139"/>
      <c r="ABK2" s="139"/>
      <c r="ABL2" s="139"/>
      <c r="ABM2" s="139"/>
      <c r="ABN2" s="139"/>
      <c r="ABO2" s="139"/>
      <c r="ABP2" s="139"/>
      <c r="ABQ2" s="139"/>
      <c r="ABR2" s="139"/>
      <c r="ABS2" s="139"/>
      <c r="ABT2" s="139"/>
      <c r="ABU2" s="139"/>
      <c r="ABV2" s="139"/>
      <c r="ABW2" s="139"/>
      <c r="ABX2" s="139"/>
      <c r="ABY2" s="139"/>
      <c r="ABZ2" s="139"/>
      <c r="ACA2" s="139"/>
      <c r="ACB2" s="139"/>
      <c r="ACC2" s="139"/>
      <c r="ACD2" s="139"/>
      <c r="ACE2" s="139"/>
      <c r="ACF2" s="139"/>
      <c r="ACG2" s="139"/>
      <c r="ACH2" s="139"/>
      <c r="ACI2" s="139"/>
      <c r="ACJ2" s="139"/>
      <c r="ACK2" s="139"/>
      <c r="ACL2" s="139"/>
      <c r="ACM2" s="139"/>
      <c r="ACN2" s="139"/>
      <c r="ACO2" s="139"/>
      <c r="ACP2" s="139"/>
      <c r="ACQ2" s="139"/>
      <c r="ACR2" s="139"/>
      <c r="ACS2" s="139"/>
      <c r="ACT2" s="139"/>
      <c r="ACU2" s="139"/>
      <c r="ACV2" s="139"/>
      <c r="ACW2" s="139"/>
      <c r="ACX2" s="139"/>
      <c r="ACY2" s="139"/>
      <c r="ACZ2" s="139"/>
      <c r="ADA2" s="139"/>
      <c r="ADB2" s="139"/>
      <c r="ADC2" s="139"/>
      <c r="ADD2" s="139"/>
      <c r="ADE2" s="139"/>
      <c r="ADF2" s="139"/>
      <c r="ADG2" s="139"/>
      <c r="ADH2" s="139"/>
      <c r="ADI2" s="139"/>
      <c r="ADJ2" s="139"/>
      <c r="ADK2" s="139"/>
      <c r="ADL2" s="139"/>
      <c r="ADM2" s="139"/>
      <c r="ADN2" s="139"/>
      <c r="ADO2" s="139"/>
      <c r="ADP2" s="139"/>
      <c r="ADQ2" s="139"/>
      <c r="ADR2" s="139"/>
      <c r="ADS2" s="139"/>
      <c r="ADT2" s="139"/>
      <c r="ADU2" s="139"/>
      <c r="ADV2" s="139"/>
      <c r="ADW2" s="139"/>
      <c r="ADX2" s="139"/>
      <c r="ADY2" s="139"/>
      <c r="ADZ2" s="139"/>
      <c r="AEA2" s="139"/>
      <c r="AEB2" s="139"/>
      <c r="AEC2" s="139"/>
      <c r="AED2" s="139"/>
      <c r="AEE2" s="139"/>
      <c r="AEF2" s="139"/>
      <c r="AEG2" s="139"/>
      <c r="AEH2" s="139"/>
      <c r="AEI2" s="139"/>
      <c r="AEJ2" s="139"/>
      <c r="AEK2" s="139"/>
      <c r="AEL2" s="139"/>
      <c r="AEM2" s="139"/>
      <c r="AEN2" s="139"/>
      <c r="AEO2" s="139"/>
      <c r="AEP2" s="139"/>
      <c r="AEQ2" s="139"/>
      <c r="AER2" s="139"/>
      <c r="AES2" s="139"/>
      <c r="AET2" s="139"/>
      <c r="AEU2" s="139"/>
      <c r="AEV2" s="139"/>
      <c r="AEW2" s="139"/>
      <c r="AEX2" s="139"/>
      <c r="AEY2" s="139"/>
      <c r="AEZ2" s="139"/>
      <c r="AFA2" s="139"/>
      <c r="AFB2" s="139"/>
      <c r="AFC2" s="139"/>
      <c r="AFD2" s="139"/>
      <c r="AFE2" s="139"/>
      <c r="AFF2" s="139"/>
      <c r="AFG2" s="139"/>
      <c r="AFH2" s="139"/>
      <c r="AFI2" s="139"/>
      <c r="AFJ2" s="139"/>
      <c r="AFK2" s="139"/>
      <c r="AFL2" s="139"/>
      <c r="AFM2" s="139"/>
      <c r="AFN2" s="139"/>
      <c r="AFO2" s="139"/>
      <c r="AFP2" s="139"/>
      <c r="AFQ2" s="139"/>
      <c r="AFR2" s="139"/>
      <c r="AFS2" s="139"/>
      <c r="AFT2" s="139"/>
      <c r="AFU2" s="139"/>
      <c r="AFV2" s="139"/>
      <c r="AFW2" s="139"/>
      <c r="AFX2" s="139"/>
      <c r="AFY2" s="139"/>
      <c r="AFZ2" s="139"/>
      <c r="AGA2" s="139"/>
      <c r="AGB2" s="139"/>
      <c r="AGC2" s="139"/>
      <c r="AGD2" s="139"/>
      <c r="AGE2" s="139"/>
      <c r="AGF2" s="139"/>
      <c r="AGG2" s="139"/>
      <c r="AGH2" s="139"/>
      <c r="AGI2" s="139"/>
      <c r="AGJ2" s="139"/>
      <c r="AGK2" s="139"/>
      <c r="AGL2" s="139"/>
      <c r="AGM2" s="139"/>
      <c r="AGN2" s="139"/>
      <c r="AGO2" s="139"/>
      <c r="AGP2" s="139"/>
      <c r="AGQ2" s="139"/>
      <c r="AGR2" s="139"/>
      <c r="AGS2" s="139"/>
      <c r="AGT2" s="139"/>
      <c r="AGU2" s="139"/>
      <c r="AGV2" s="139"/>
      <c r="AGW2" s="139"/>
      <c r="AGX2" s="139"/>
      <c r="AGY2" s="139"/>
      <c r="AGZ2" s="139"/>
      <c r="AHA2" s="139"/>
      <c r="AHB2" s="139"/>
      <c r="AHC2" s="139"/>
      <c r="AHD2" s="139"/>
      <c r="AHE2" s="139"/>
      <c r="AHF2" s="139"/>
      <c r="AHG2" s="139"/>
      <c r="AHH2" s="139"/>
      <c r="AHI2" s="139"/>
      <c r="AHJ2" s="139"/>
      <c r="AHK2" s="139"/>
      <c r="AHL2" s="139"/>
      <c r="AHM2" s="139"/>
      <c r="AHN2" s="139"/>
      <c r="AHO2" s="139"/>
      <c r="AHP2" s="139"/>
      <c r="AHQ2" s="139"/>
      <c r="AHR2" s="139"/>
      <c r="AHS2" s="139"/>
      <c r="AHT2" s="139"/>
      <c r="AHU2" s="139"/>
      <c r="AHV2" s="139"/>
      <c r="AHW2" s="139"/>
      <c r="AHX2" s="139"/>
      <c r="AHY2" s="139"/>
      <c r="AHZ2" s="139"/>
      <c r="AIA2" s="139"/>
      <c r="AIB2" s="139"/>
      <c r="AIC2" s="139"/>
      <c r="AID2" s="139"/>
      <c r="AIE2" s="139"/>
      <c r="AIF2" s="139"/>
      <c r="AIG2" s="139"/>
      <c r="AIH2" s="139"/>
      <c r="AII2" s="139"/>
      <c r="AIJ2" s="139"/>
      <c r="AIK2" s="139"/>
      <c r="AIL2" s="139"/>
      <c r="AIM2" s="139"/>
      <c r="AIN2" s="139"/>
      <c r="AIO2" s="139"/>
      <c r="AIP2" s="139"/>
      <c r="AIQ2" s="139"/>
      <c r="AIR2" s="139"/>
      <c r="AIS2" s="139"/>
      <c r="AIT2" s="139"/>
      <c r="AIU2" s="139"/>
      <c r="AIV2" s="139"/>
      <c r="AIW2" s="139"/>
      <c r="AIX2" s="139"/>
      <c r="AIY2" s="139"/>
      <c r="AIZ2" s="139"/>
      <c r="AJA2" s="139"/>
      <c r="AJB2" s="139"/>
      <c r="AJC2" s="139"/>
      <c r="AJD2" s="139"/>
      <c r="AJE2" s="139"/>
      <c r="AJF2" s="139"/>
      <c r="AJG2" s="139"/>
      <c r="AJH2" s="139"/>
      <c r="AJI2" s="139"/>
      <c r="AJJ2" s="139"/>
      <c r="AJK2" s="139"/>
      <c r="AJL2" s="139"/>
      <c r="AJM2" s="139"/>
      <c r="AJN2" s="139"/>
      <c r="AJO2" s="139"/>
      <c r="AJP2" s="139"/>
      <c r="AJQ2" s="139"/>
      <c r="AJR2" s="139"/>
      <c r="AJS2" s="139"/>
      <c r="AJT2" s="139"/>
      <c r="AJU2" s="139"/>
      <c r="AJV2" s="139"/>
      <c r="AJW2" s="139"/>
      <c r="AJX2" s="139"/>
      <c r="AJY2" s="139"/>
      <c r="AJZ2" s="139"/>
      <c r="AKA2" s="139"/>
      <c r="AKB2" s="139"/>
      <c r="AKC2" s="139"/>
      <c r="AKD2" s="139"/>
      <c r="AKE2" s="139"/>
      <c r="AKF2" s="139"/>
      <c r="AKG2" s="139"/>
      <c r="AKH2" s="139"/>
      <c r="AKI2" s="139"/>
      <c r="AKJ2" s="139"/>
      <c r="AKK2" s="139"/>
      <c r="AKL2" s="139"/>
      <c r="AKM2" s="139"/>
      <c r="AKN2" s="139"/>
      <c r="AKO2" s="139"/>
      <c r="AKP2" s="139"/>
      <c r="AKQ2" s="139"/>
      <c r="AKR2" s="139"/>
      <c r="AKS2" s="139"/>
      <c r="AKT2" s="139"/>
      <c r="AKU2" s="139"/>
      <c r="AKV2" s="139"/>
      <c r="AKW2" s="139"/>
      <c r="AKX2" s="139"/>
      <c r="AKY2" s="139"/>
      <c r="AKZ2" s="139"/>
      <c r="ALA2" s="139"/>
      <c r="ALB2" s="139"/>
      <c r="ALC2" s="139"/>
      <c r="ALD2" s="139"/>
      <c r="ALE2" s="139"/>
      <c r="ALF2" s="139"/>
      <c r="ALG2" s="139"/>
      <c r="ALH2" s="139"/>
      <c r="ALI2" s="139"/>
      <c r="ALJ2" s="139"/>
      <c r="ALK2" s="139"/>
      <c r="ALL2" s="139"/>
      <c r="ALM2" s="139"/>
      <c r="ALN2" s="139"/>
      <c r="ALO2" s="139"/>
      <c r="ALP2" s="139"/>
      <c r="ALQ2" s="139"/>
      <c r="ALR2" s="139"/>
      <c r="ALS2" s="139"/>
      <c r="ALT2" s="139"/>
      <c r="ALU2" s="139"/>
      <c r="ALV2" s="139"/>
      <c r="ALW2" s="139"/>
      <c r="ALX2" s="139"/>
      <c r="ALY2" s="139"/>
      <c r="ALZ2" s="139"/>
      <c r="AMA2" s="139"/>
      <c r="AMB2" s="139"/>
      <c r="AMC2" s="139"/>
      <c r="AMD2" s="139"/>
      <c r="AME2" s="139"/>
      <c r="AMF2" s="139"/>
      <c r="AMG2" s="139"/>
      <c r="AMH2" s="139"/>
      <c r="AMI2" s="139"/>
      <c r="AMJ2" s="139"/>
    </row>
    <row r="3" spans="1:1024" s="140" customFormat="1" x14ac:dyDescent="0.25">
      <c r="A3" s="207" t="s">
        <v>108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142"/>
      <c r="N3" s="142"/>
      <c r="O3" s="143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</row>
    <row r="4" spans="1:1024" s="140" customFormat="1" ht="15.75" x14ac:dyDescent="0.25">
      <c r="A4" s="144" t="s">
        <v>1</v>
      </c>
      <c r="B4" s="186" t="s">
        <v>133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39"/>
      <c r="N4" s="139"/>
      <c r="O4" s="143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  <c r="DB4" s="139"/>
      <c r="DC4" s="139"/>
      <c r="DD4" s="139"/>
      <c r="DE4" s="139"/>
      <c r="DF4" s="139"/>
      <c r="DG4" s="139"/>
      <c r="DH4" s="139"/>
      <c r="DI4" s="139"/>
      <c r="DJ4" s="139"/>
      <c r="DK4" s="139"/>
      <c r="DL4" s="139"/>
      <c r="DM4" s="139"/>
      <c r="DN4" s="139"/>
      <c r="DO4" s="139"/>
      <c r="DP4" s="139"/>
      <c r="DQ4" s="139"/>
      <c r="DR4" s="139"/>
      <c r="DS4" s="139"/>
      <c r="DT4" s="139"/>
      <c r="DU4" s="139"/>
      <c r="DV4" s="139"/>
      <c r="DW4" s="139"/>
      <c r="DX4" s="139"/>
      <c r="DY4" s="139"/>
      <c r="DZ4" s="139"/>
      <c r="EA4" s="139"/>
      <c r="EB4" s="139"/>
      <c r="EC4" s="139"/>
      <c r="ED4" s="139"/>
      <c r="EE4" s="139"/>
      <c r="EF4" s="139"/>
      <c r="EG4" s="139"/>
      <c r="EH4" s="139"/>
      <c r="EI4" s="139"/>
      <c r="EJ4" s="139"/>
      <c r="EK4" s="139"/>
      <c r="EL4" s="139"/>
      <c r="EM4" s="139"/>
      <c r="EN4" s="139"/>
      <c r="EO4" s="139"/>
      <c r="EP4" s="139"/>
      <c r="EQ4" s="139"/>
      <c r="ER4" s="139"/>
      <c r="ES4" s="139"/>
      <c r="ET4" s="139"/>
      <c r="EU4" s="139"/>
      <c r="EV4" s="139"/>
      <c r="EW4" s="139"/>
      <c r="EX4" s="139"/>
      <c r="EY4" s="139"/>
      <c r="EZ4" s="139"/>
      <c r="FA4" s="139"/>
      <c r="FB4" s="139"/>
      <c r="FC4" s="139"/>
      <c r="FD4" s="139"/>
      <c r="FE4" s="139"/>
      <c r="FF4" s="139"/>
      <c r="FG4" s="139"/>
      <c r="FH4" s="139"/>
      <c r="FI4" s="139"/>
      <c r="FJ4" s="139"/>
      <c r="FK4" s="139"/>
      <c r="FL4" s="139"/>
      <c r="FM4" s="139"/>
      <c r="FN4" s="139"/>
      <c r="FO4" s="139"/>
      <c r="FP4" s="139"/>
      <c r="FQ4" s="139"/>
      <c r="FR4" s="139"/>
      <c r="FS4" s="139"/>
      <c r="FT4" s="139"/>
      <c r="FU4" s="139"/>
      <c r="FV4" s="139"/>
      <c r="FW4" s="139"/>
      <c r="FX4" s="139"/>
      <c r="FY4" s="139"/>
      <c r="FZ4" s="139"/>
      <c r="GA4" s="139"/>
      <c r="GB4" s="139"/>
      <c r="GC4" s="139"/>
      <c r="GD4" s="139"/>
      <c r="GE4" s="139"/>
      <c r="GF4" s="139"/>
      <c r="GG4" s="139"/>
      <c r="GH4" s="139"/>
      <c r="GI4" s="139"/>
      <c r="GJ4" s="139"/>
      <c r="GK4" s="139"/>
      <c r="GL4" s="139"/>
      <c r="GM4" s="139"/>
      <c r="GN4" s="139"/>
      <c r="GO4" s="139"/>
      <c r="GP4" s="139"/>
      <c r="GQ4" s="139"/>
      <c r="GR4" s="139"/>
      <c r="GS4" s="139"/>
      <c r="GT4" s="139"/>
      <c r="GU4" s="139"/>
      <c r="GV4" s="139"/>
      <c r="GW4" s="139"/>
      <c r="GX4" s="139"/>
      <c r="GY4" s="139"/>
      <c r="GZ4" s="139"/>
      <c r="HA4" s="139"/>
      <c r="HB4" s="139"/>
      <c r="HC4" s="139"/>
      <c r="HD4" s="139"/>
      <c r="HE4" s="139"/>
      <c r="HF4" s="139"/>
      <c r="HG4" s="139"/>
      <c r="HH4" s="139"/>
      <c r="HI4" s="139"/>
      <c r="HJ4" s="139"/>
      <c r="HK4" s="139"/>
      <c r="HL4" s="139"/>
      <c r="HM4" s="139"/>
      <c r="HN4" s="139"/>
      <c r="HO4" s="139"/>
      <c r="HP4" s="139"/>
      <c r="HQ4" s="139"/>
      <c r="HR4" s="139"/>
      <c r="HS4" s="139"/>
      <c r="HT4" s="139"/>
      <c r="HU4" s="139"/>
      <c r="HV4" s="139"/>
      <c r="HW4" s="139"/>
      <c r="HX4" s="139"/>
      <c r="HY4" s="139"/>
      <c r="HZ4" s="139"/>
      <c r="IA4" s="139"/>
      <c r="IB4" s="139"/>
      <c r="IC4" s="139"/>
      <c r="ID4" s="139"/>
      <c r="IE4" s="139"/>
      <c r="IF4" s="139"/>
      <c r="IG4" s="139"/>
      <c r="IH4" s="139"/>
      <c r="II4" s="139"/>
      <c r="IJ4" s="139"/>
      <c r="IK4" s="139"/>
      <c r="IL4" s="139"/>
      <c r="IM4" s="139"/>
      <c r="IN4" s="139"/>
      <c r="IO4" s="139"/>
      <c r="IP4" s="139"/>
      <c r="IQ4" s="139"/>
      <c r="IR4" s="139"/>
      <c r="IS4" s="139"/>
      <c r="IT4" s="139"/>
      <c r="IU4" s="139"/>
      <c r="IV4" s="139"/>
      <c r="IW4" s="139"/>
      <c r="IX4" s="139"/>
      <c r="IY4" s="139"/>
      <c r="IZ4" s="139"/>
      <c r="JA4" s="139"/>
      <c r="JB4" s="139"/>
      <c r="JC4" s="139"/>
      <c r="JD4" s="139"/>
      <c r="JE4" s="139"/>
      <c r="JF4" s="139"/>
      <c r="JG4" s="139"/>
      <c r="JH4" s="139"/>
      <c r="JI4" s="139"/>
      <c r="JJ4" s="139"/>
      <c r="JK4" s="139"/>
      <c r="JL4" s="139"/>
      <c r="JM4" s="139"/>
      <c r="JN4" s="139"/>
      <c r="JO4" s="139"/>
      <c r="JP4" s="139"/>
      <c r="JQ4" s="139"/>
      <c r="JR4" s="139"/>
      <c r="JS4" s="139"/>
      <c r="JT4" s="139"/>
      <c r="JU4" s="139"/>
      <c r="JV4" s="139"/>
      <c r="JW4" s="139"/>
      <c r="JX4" s="139"/>
      <c r="JY4" s="139"/>
      <c r="JZ4" s="139"/>
      <c r="KA4" s="139"/>
      <c r="KB4" s="139"/>
      <c r="KC4" s="139"/>
      <c r="KD4" s="139"/>
      <c r="KE4" s="139"/>
      <c r="KF4" s="139"/>
      <c r="KG4" s="139"/>
      <c r="KH4" s="139"/>
      <c r="KI4" s="139"/>
      <c r="KJ4" s="139"/>
      <c r="KK4" s="139"/>
      <c r="KL4" s="139"/>
      <c r="KM4" s="139"/>
      <c r="KN4" s="139"/>
      <c r="KO4" s="139"/>
      <c r="KP4" s="139"/>
      <c r="KQ4" s="139"/>
      <c r="KR4" s="139"/>
      <c r="KS4" s="139"/>
      <c r="KT4" s="139"/>
      <c r="KU4" s="139"/>
      <c r="KV4" s="139"/>
      <c r="KW4" s="139"/>
      <c r="KX4" s="139"/>
      <c r="KY4" s="139"/>
      <c r="KZ4" s="139"/>
      <c r="LA4" s="139"/>
      <c r="LB4" s="139"/>
      <c r="LC4" s="139"/>
      <c r="LD4" s="139"/>
      <c r="LE4" s="139"/>
      <c r="LF4" s="139"/>
      <c r="LG4" s="139"/>
      <c r="LH4" s="139"/>
      <c r="LI4" s="139"/>
      <c r="LJ4" s="139"/>
      <c r="LK4" s="139"/>
      <c r="LL4" s="139"/>
      <c r="LM4" s="139"/>
      <c r="LN4" s="139"/>
      <c r="LO4" s="139"/>
      <c r="LP4" s="139"/>
      <c r="LQ4" s="139"/>
      <c r="LR4" s="139"/>
      <c r="LS4" s="139"/>
      <c r="LT4" s="139"/>
      <c r="LU4" s="139"/>
      <c r="LV4" s="139"/>
      <c r="LW4" s="139"/>
      <c r="LX4" s="139"/>
      <c r="LY4" s="139"/>
      <c r="LZ4" s="139"/>
      <c r="MA4" s="139"/>
      <c r="MB4" s="139"/>
      <c r="MC4" s="139"/>
      <c r="MD4" s="139"/>
      <c r="ME4" s="139"/>
      <c r="MF4" s="139"/>
      <c r="MG4" s="139"/>
      <c r="MH4" s="139"/>
      <c r="MI4" s="139"/>
      <c r="MJ4" s="139"/>
      <c r="MK4" s="139"/>
      <c r="ML4" s="139"/>
      <c r="MM4" s="139"/>
      <c r="MN4" s="139"/>
      <c r="MO4" s="139"/>
      <c r="MP4" s="139"/>
      <c r="MQ4" s="139"/>
      <c r="MR4" s="139"/>
      <c r="MS4" s="139"/>
      <c r="MT4" s="139"/>
      <c r="MU4" s="139"/>
      <c r="MV4" s="139"/>
      <c r="MW4" s="139"/>
      <c r="MX4" s="139"/>
      <c r="MY4" s="139"/>
      <c r="MZ4" s="139"/>
      <c r="NA4" s="139"/>
      <c r="NB4" s="139"/>
      <c r="NC4" s="139"/>
      <c r="ND4" s="139"/>
      <c r="NE4" s="139"/>
      <c r="NF4" s="139"/>
      <c r="NG4" s="139"/>
      <c r="NH4" s="139"/>
      <c r="NI4" s="139"/>
      <c r="NJ4" s="139"/>
      <c r="NK4" s="139"/>
      <c r="NL4" s="139"/>
      <c r="NM4" s="139"/>
      <c r="NN4" s="139"/>
      <c r="NO4" s="139"/>
      <c r="NP4" s="139"/>
      <c r="NQ4" s="139"/>
      <c r="NR4" s="139"/>
      <c r="NS4" s="139"/>
      <c r="NT4" s="139"/>
      <c r="NU4" s="139"/>
      <c r="NV4" s="139"/>
      <c r="NW4" s="139"/>
      <c r="NX4" s="139"/>
      <c r="NY4" s="139"/>
      <c r="NZ4" s="139"/>
      <c r="OA4" s="139"/>
      <c r="OB4" s="139"/>
      <c r="OC4" s="139"/>
      <c r="OD4" s="139"/>
      <c r="OE4" s="139"/>
      <c r="OF4" s="139"/>
      <c r="OG4" s="139"/>
      <c r="OH4" s="139"/>
      <c r="OI4" s="139"/>
      <c r="OJ4" s="139"/>
      <c r="OK4" s="139"/>
      <c r="OL4" s="139"/>
      <c r="OM4" s="139"/>
      <c r="ON4" s="139"/>
      <c r="OO4" s="139"/>
      <c r="OP4" s="139"/>
      <c r="OQ4" s="139"/>
      <c r="OR4" s="139"/>
      <c r="OS4" s="139"/>
      <c r="OT4" s="139"/>
      <c r="OU4" s="139"/>
      <c r="OV4" s="139"/>
      <c r="OW4" s="139"/>
      <c r="OX4" s="139"/>
      <c r="OY4" s="139"/>
      <c r="OZ4" s="139"/>
      <c r="PA4" s="139"/>
      <c r="PB4" s="139"/>
      <c r="PC4" s="139"/>
      <c r="PD4" s="139"/>
      <c r="PE4" s="139"/>
      <c r="PF4" s="139"/>
      <c r="PG4" s="139"/>
      <c r="PH4" s="139"/>
      <c r="PI4" s="139"/>
      <c r="PJ4" s="139"/>
      <c r="PK4" s="139"/>
      <c r="PL4" s="139"/>
      <c r="PM4" s="139"/>
      <c r="PN4" s="139"/>
      <c r="PO4" s="139"/>
      <c r="PP4" s="139"/>
      <c r="PQ4" s="139"/>
      <c r="PR4" s="139"/>
      <c r="PS4" s="139"/>
      <c r="PT4" s="139"/>
      <c r="PU4" s="139"/>
      <c r="PV4" s="139"/>
      <c r="PW4" s="139"/>
      <c r="PX4" s="139"/>
      <c r="PY4" s="139"/>
      <c r="PZ4" s="139"/>
      <c r="QA4" s="139"/>
      <c r="QB4" s="139"/>
      <c r="QC4" s="139"/>
      <c r="QD4" s="139"/>
      <c r="QE4" s="139"/>
      <c r="QF4" s="139"/>
      <c r="QG4" s="139"/>
      <c r="QH4" s="139"/>
      <c r="QI4" s="139"/>
      <c r="QJ4" s="139"/>
      <c r="QK4" s="139"/>
      <c r="QL4" s="139"/>
      <c r="QM4" s="139"/>
      <c r="QN4" s="139"/>
      <c r="QO4" s="139"/>
      <c r="QP4" s="139"/>
      <c r="QQ4" s="139"/>
      <c r="QR4" s="139"/>
      <c r="QS4" s="139"/>
      <c r="QT4" s="139"/>
      <c r="QU4" s="139"/>
      <c r="QV4" s="139"/>
      <c r="QW4" s="139"/>
      <c r="QX4" s="139"/>
      <c r="QY4" s="139"/>
      <c r="QZ4" s="139"/>
      <c r="RA4" s="139"/>
      <c r="RB4" s="139"/>
      <c r="RC4" s="139"/>
      <c r="RD4" s="139"/>
      <c r="RE4" s="139"/>
      <c r="RF4" s="139"/>
      <c r="RG4" s="139"/>
      <c r="RH4" s="139"/>
      <c r="RI4" s="139"/>
      <c r="RJ4" s="139"/>
      <c r="RK4" s="139"/>
      <c r="RL4" s="139"/>
      <c r="RM4" s="139"/>
      <c r="RN4" s="139"/>
      <c r="RO4" s="139"/>
      <c r="RP4" s="139"/>
      <c r="RQ4" s="139"/>
      <c r="RR4" s="139"/>
      <c r="RS4" s="139"/>
      <c r="RT4" s="139"/>
      <c r="RU4" s="139"/>
      <c r="RV4" s="139"/>
      <c r="RW4" s="139"/>
      <c r="RX4" s="139"/>
      <c r="RY4" s="139"/>
      <c r="RZ4" s="139"/>
      <c r="SA4" s="139"/>
      <c r="SB4" s="139"/>
      <c r="SC4" s="139"/>
      <c r="SD4" s="139"/>
      <c r="SE4" s="139"/>
      <c r="SF4" s="139"/>
      <c r="SG4" s="139"/>
      <c r="SH4" s="139"/>
      <c r="SI4" s="139"/>
      <c r="SJ4" s="139"/>
      <c r="SK4" s="139"/>
      <c r="SL4" s="139"/>
      <c r="SM4" s="139"/>
      <c r="SN4" s="139"/>
      <c r="SO4" s="139"/>
      <c r="SP4" s="139"/>
      <c r="SQ4" s="139"/>
      <c r="SR4" s="139"/>
      <c r="SS4" s="139"/>
      <c r="ST4" s="139"/>
      <c r="SU4" s="139"/>
      <c r="SV4" s="139"/>
      <c r="SW4" s="139"/>
      <c r="SX4" s="139"/>
      <c r="SY4" s="139"/>
      <c r="SZ4" s="139"/>
      <c r="TA4" s="139"/>
      <c r="TB4" s="139"/>
      <c r="TC4" s="139"/>
      <c r="TD4" s="139"/>
      <c r="TE4" s="139"/>
      <c r="TF4" s="139"/>
      <c r="TG4" s="139"/>
      <c r="TH4" s="139"/>
      <c r="TI4" s="139"/>
      <c r="TJ4" s="139"/>
      <c r="TK4" s="139"/>
      <c r="TL4" s="139"/>
      <c r="TM4" s="139"/>
      <c r="TN4" s="139"/>
      <c r="TO4" s="139"/>
      <c r="TP4" s="139"/>
      <c r="TQ4" s="139"/>
      <c r="TR4" s="139"/>
      <c r="TS4" s="139"/>
      <c r="TT4" s="139"/>
      <c r="TU4" s="139"/>
      <c r="TV4" s="139"/>
      <c r="TW4" s="139"/>
      <c r="TX4" s="139"/>
      <c r="TY4" s="139"/>
      <c r="TZ4" s="139"/>
      <c r="UA4" s="139"/>
      <c r="UB4" s="139"/>
      <c r="UC4" s="139"/>
      <c r="UD4" s="139"/>
      <c r="UE4" s="139"/>
      <c r="UF4" s="139"/>
      <c r="UG4" s="139"/>
      <c r="UH4" s="139"/>
      <c r="UI4" s="139"/>
      <c r="UJ4" s="139"/>
      <c r="UK4" s="139"/>
      <c r="UL4" s="139"/>
      <c r="UM4" s="139"/>
      <c r="UN4" s="139"/>
      <c r="UO4" s="139"/>
      <c r="UP4" s="139"/>
      <c r="UQ4" s="139"/>
      <c r="UR4" s="139"/>
      <c r="US4" s="139"/>
      <c r="UT4" s="139"/>
      <c r="UU4" s="139"/>
      <c r="UV4" s="139"/>
      <c r="UW4" s="139"/>
      <c r="UX4" s="139"/>
      <c r="UY4" s="139"/>
      <c r="UZ4" s="139"/>
      <c r="VA4" s="139"/>
      <c r="VB4" s="139"/>
      <c r="VC4" s="139"/>
      <c r="VD4" s="139"/>
      <c r="VE4" s="139"/>
      <c r="VF4" s="139"/>
      <c r="VG4" s="139"/>
      <c r="VH4" s="139"/>
      <c r="VI4" s="139"/>
      <c r="VJ4" s="139"/>
      <c r="VK4" s="139"/>
      <c r="VL4" s="139"/>
      <c r="VM4" s="139"/>
      <c r="VN4" s="139"/>
      <c r="VO4" s="139"/>
      <c r="VP4" s="139"/>
      <c r="VQ4" s="139"/>
      <c r="VR4" s="139"/>
      <c r="VS4" s="139"/>
      <c r="VT4" s="139"/>
      <c r="VU4" s="139"/>
      <c r="VV4" s="139"/>
      <c r="VW4" s="139"/>
      <c r="VX4" s="139"/>
      <c r="VY4" s="139"/>
      <c r="VZ4" s="139"/>
      <c r="WA4" s="139"/>
      <c r="WB4" s="139"/>
      <c r="WC4" s="139"/>
      <c r="WD4" s="139"/>
      <c r="WE4" s="139"/>
      <c r="WF4" s="139"/>
      <c r="WG4" s="139"/>
      <c r="WH4" s="139"/>
      <c r="WI4" s="139"/>
      <c r="WJ4" s="139"/>
      <c r="WK4" s="139"/>
      <c r="WL4" s="139"/>
      <c r="WM4" s="139"/>
      <c r="WN4" s="139"/>
      <c r="WO4" s="139"/>
      <c r="WP4" s="139"/>
      <c r="WQ4" s="139"/>
      <c r="WR4" s="139"/>
      <c r="WS4" s="139"/>
      <c r="WT4" s="139"/>
      <c r="WU4" s="139"/>
      <c r="WV4" s="139"/>
      <c r="WW4" s="139"/>
      <c r="WX4" s="139"/>
      <c r="WY4" s="139"/>
      <c r="WZ4" s="139"/>
      <c r="XA4" s="139"/>
      <c r="XB4" s="139"/>
      <c r="XC4" s="139"/>
      <c r="XD4" s="139"/>
      <c r="XE4" s="139"/>
      <c r="XF4" s="139"/>
      <c r="XG4" s="139"/>
      <c r="XH4" s="139"/>
      <c r="XI4" s="139"/>
      <c r="XJ4" s="139"/>
      <c r="XK4" s="139"/>
      <c r="XL4" s="139"/>
      <c r="XM4" s="139"/>
      <c r="XN4" s="139"/>
      <c r="XO4" s="139"/>
      <c r="XP4" s="139"/>
      <c r="XQ4" s="139"/>
      <c r="XR4" s="139"/>
      <c r="XS4" s="139"/>
      <c r="XT4" s="139"/>
      <c r="XU4" s="139"/>
      <c r="XV4" s="139"/>
      <c r="XW4" s="139"/>
      <c r="XX4" s="139"/>
      <c r="XY4" s="139"/>
      <c r="XZ4" s="139"/>
      <c r="YA4" s="139"/>
      <c r="YB4" s="139"/>
      <c r="YC4" s="139"/>
      <c r="YD4" s="139"/>
      <c r="YE4" s="139"/>
      <c r="YF4" s="139"/>
      <c r="YG4" s="139"/>
      <c r="YH4" s="139"/>
      <c r="YI4" s="139"/>
      <c r="YJ4" s="139"/>
      <c r="YK4" s="139"/>
      <c r="YL4" s="139"/>
      <c r="YM4" s="139"/>
      <c r="YN4" s="139"/>
      <c r="YO4" s="139"/>
      <c r="YP4" s="139"/>
      <c r="YQ4" s="139"/>
      <c r="YR4" s="139"/>
      <c r="YS4" s="139"/>
      <c r="YT4" s="139"/>
      <c r="YU4" s="139"/>
      <c r="YV4" s="139"/>
      <c r="YW4" s="139"/>
      <c r="YX4" s="139"/>
      <c r="YY4" s="139"/>
      <c r="YZ4" s="139"/>
      <c r="ZA4" s="139"/>
      <c r="ZB4" s="139"/>
      <c r="ZC4" s="139"/>
      <c r="ZD4" s="139"/>
      <c r="ZE4" s="139"/>
      <c r="ZF4" s="139"/>
      <c r="ZG4" s="139"/>
      <c r="ZH4" s="139"/>
      <c r="ZI4" s="139"/>
      <c r="ZJ4" s="139"/>
      <c r="ZK4" s="139"/>
      <c r="ZL4" s="139"/>
      <c r="ZM4" s="139"/>
      <c r="ZN4" s="139"/>
      <c r="ZO4" s="139"/>
      <c r="ZP4" s="139"/>
      <c r="ZQ4" s="139"/>
      <c r="ZR4" s="139"/>
      <c r="ZS4" s="139"/>
      <c r="ZT4" s="139"/>
      <c r="ZU4" s="139"/>
      <c r="ZV4" s="139"/>
      <c r="ZW4" s="139"/>
      <c r="ZX4" s="139"/>
      <c r="ZY4" s="139"/>
      <c r="ZZ4" s="139"/>
      <c r="AAA4" s="139"/>
      <c r="AAB4" s="139"/>
      <c r="AAC4" s="139"/>
      <c r="AAD4" s="139"/>
      <c r="AAE4" s="139"/>
      <c r="AAF4" s="139"/>
      <c r="AAG4" s="139"/>
      <c r="AAH4" s="139"/>
      <c r="AAI4" s="139"/>
      <c r="AAJ4" s="139"/>
      <c r="AAK4" s="139"/>
      <c r="AAL4" s="139"/>
      <c r="AAM4" s="139"/>
      <c r="AAN4" s="139"/>
      <c r="AAO4" s="139"/>
      <c r="AAP4" s="139"/>
      <c r="AAQ4" s="139"/>
      <c r="AAR4" s="139"/>
      <c r="AAS4" s="139"/>
      <c r="AAT4" s="139"/>
      <c r="AAU4" s="139"/>
      <c r="AAV4" s="139"/>
      <c r="AAW4" s="139"/>
      <c r="AAX4" s="139"/>
      <c r="AAY4" s="139"/>
      <c r="AAZ4" s="139"/>
      <c r="ABA4" s="139"/>
      <c r="ABB4" s="139"/>
      <c r="ABC4" s="139"/>
      <c r="ABD4" s="139"/>
      <c r="ABE4" s="139"/>
      <c r="ABF4" s="139"/>
      <c r="ABG4" s="139"/>
      <c r="ABH4" s="139"/>
      <c r="ABI4" s="139"/>
      <c r="ABJ4" s="139"/>
      <c r="ABK4" s="139"/>
      <c r="ABL4" s="139"/>
      <c r="ABM4" s="139"/>
      <c r="ABN4" s="139"/>
      <c r="ABO4" s="139"/>
      <c r="ABP4" s="139"/>
      <c r="ABQ4" s="139"/>
      <c r="ABR4" s="139"/>
      <c r="ABS4" s="139"/>
      <c r="ABT4" s="139"/>
      <c r="ABU4" s="139"/>
      <c r="ABV4" s="139"/>
      <c r="ABW4" s="139"/>
      <c r="ABX4" s="139"/>
      <c r="ABY4" s="139"/>
      <c r="ABZ4" s="139"/>
      <c r="ACA4" s="139"/>
      <c r="ACB4" s="139"/>
      <c r="ACC4" s="139"/>
      <c r="ACD4" s="139"/>
      <c r="ACE4" s="139"/>
      <c r="ACF4" s="139"/>
      <c r="ACG4" s="139"/>
      <c r="ACH4" s="139"/>
      <c r="ACI4" s="139"/>
      <c r="ACJ4" s="139"/>
      <c r="ACK4" s="139"/>
      <c r="ACL4" s="139"/>
      <c r="ACM4" s="139"/>
      <c r="ACN4" s="139"/>
      <c r="ACO4" s="139"/>
      <c r="ACP4" s="139"/>
      <c r="ACQ4" s="139"/>
      <c r="ACR4" s="139"/>
      <c r="ACS4" s="139"/>
      <c r="ACT4" s="139"/>
      <c r="ACU4" s="139"/>
      <c r="ACV4" s="139"/>
      <c r="ACW4" s="139"/>
      <c r="ACX4" s="139"/>
      <c r="ACY4" s="139"/>
      <c r="ACZ4" s="139"/>
      <c r="ADA4" s="139"/>
      <c r="ADB4" s="139"/>
      <c r="ADC4" s="139"/>
      <c r="ADD4" s="139"/>
      <c r="ADE4" s="139"/>
      <c r="ADF4" s="139"/>
      <c r="ADG4" s="139"/>
      <c r="ADH4" s="139"/>
      <c r="ADI4" s="139"/>
      <c r="ADJ4" s="139"/>
      <c r="ADK4" s="139"/>
      <c r="ADL4" s="139"/>
      <c r="ADM4" s="139"/>
      <c r="ADN4" s="139"/>
      <c r="ADO4" s="139"/>
      <c r="ADP4" s="139"/>
      <c r="ADQ4" s="139"/>
      <c r="ADR4" s="139"/>
      <c r="ADS4" s="139"/>
      <c r="ADT4" s="139"/>
      <c r="ADU4" s="139"/>
      <c r="ADV4" s="139"/>
      <c r="ADW4" s="139"/>
      <c r="ADX4" s="139"/>
      <c r="ADY4" s="139"/>
      <c r="ADZ4" s="139"/>
      <c r="AEA4" s="139"/>
      <c r="AEB4" s="139"/>
      <c r="AEC4" s="139"/>
      <c r="AED4" s="139"/>
      <c r="AEE4" s="139"/>
      <c r="AEF4" s="139"/>
      <c r="AEG4" s="139"/>
      <c r="AEH4" s="139"/>
      <c r="AEI4" s="139"/>
      <c r="AEJ4" s="139"/>
      <c r="AEK4" s="139"/>
      <c r="AEL4" s="139"/>
      <c r="AEM4" s="139"/>
      <c r="AEN4" s="139"/>
      <c r="AEO4" s="139"/>
      <c r="AEP4" s="139"/>
      <c r="AEQ4" s="139"/>
      <c r="AER4" s="139"/>
      <c r="AES4" s="139"/>
      <c r="AET4" s="139"/>
      <c r="AEU4" s="139"/>
      <c r="AEV4" s="139"/>
      <c r="AEW4" s="139"/>
      <c r="AEX4" s="139"/>
      <c r="AEY4" s="139"/>
      <c r="AEZ4" s="139"/>
      <c r="AFA4" s="139"/>
      <c r="AFB4" s="139"/>
      <c r="AFC4" s="139"/>
      <c r="AFD4" s="139"/>
      <c r="AFE4" s="139"/>
      <c r="AFF4" s="139"/>
      <c r="AFG4" s="139"/>
      <c r="AFH4" s="139"/>
      <c r="AFI4" s="139"/>
      <c r="AFJ4" s="139"/>
      <c r="AFK4" s="139"/>
      <c r="AFL4" s="139"/>
      <c r="AFM4" s="139"/>
      <c r="AFN4" s="139"/>
      <c r="AFO4" s="139"/>
      <c r="AFP4" s="139"/>
      <c r="AFQ4" s="139"/>
      <c r="AFR4" s="139"/>
      <c r="AFS4" s="139"/>
      <c r="AFT4" s="139"/>
      <c r="AFU4" s="139"/>
      <c r="AFV4" s="139"/>
      <c r="AFW4" s="139"/>
      <c r="AFX4" s="139"/>
      <c r="AFY4" s="139"/>
      <c r="AFZ4" s="139"/>
      <c r="AGA4" s="139"/>
      <c r="AGB4" s="139"/>
      <c r="AGC4" s="139"/>
      <c r="AGD4" s="139"/>
      <c r="AGE4" s="139"/>
      <c r="AGF4" s="139"/>
      <c r="AGG4" s="139"/>
      <c r="AGH4" s="139"/>
      <c r="AGI4" s="139"/>
      <c r="AGJ4" s="139"/>
      <c r="AGK4" s="139"/>
      <c r="AGL4" s="139"/>
      <c r="AGM4" s="139"/>
      <c r="AGN4" s="139"/>
      <c r="AGO4" s="139"/>
      <c r="AGP4" s="139"/>
      <c r="AGQ4" s="139"/>
      <c r="AGR4" s="139"/>
      <c r="AGS4" s="139"/>
      <c r="AGT4" s="139"/>
      <c r="AGU4" s="139"/>
      <c r="AGV4" s="139"/>
      <c r="AGW4" s="139"/>
      <c r="AGX4" s="139"/>
      <c r="AGY4" s="139"/>
      <c r="AGZ4" s="139"/>
      <c r="AHA4" s="139"/>
      <c r="AHB4" s="139"/>
      <c r="AHC4" s="139"/>
      <c r="AHD4" s="139"/>
      <c r="AHE4" s="139"/>
      <c r="AHF4" s="139"/>
      <c r="AHG4" s="139"/>
      <c r="AHH4" s="139"/>
      <c r="AHI4" s="139"/>
      <c r="AHJ4" s="139"/>
      <c r="AHK4" s="139"/>
      <c r="AHL4" s="139"/>
      <c r="AHM4" s="139"/>
      <c r="AHN4" s="139"/>
      <c r="AHO4" s="139"/>
      <c r="AHP4" s="139"/>
      <c r="AHQ4" s="139"/>
      <c r="AHR4" s="139"/>
      <c r="AHS4" s="139"/>
      <c r="AHT4" s="139"/>
      <c r="AHU4" s="139"/>
      <c r="AHV4" s="139"/>
      <c r="AHW4" s="139"/>
      <c r="AHX4" s="139"/>
      <c r="AHY4" s="139"/>
      <c r="AHZ4" s="139"/>
      <c r="AIA4" s="139"/>
      <c r="AIB4" s="139"/>
      <c r="AIC4" s="139"/>
      <c r="AID4" s="139"/>
      <c r="AIE4" s="139"/>
      <c r="AIF4" s="139"/>
      <c r="AIG4" s="139"/>
      <c r="AIH4" s="139"/>
      <c r="AII4" s="139"/>
      <c r="AIJ4" s="139"/>
      <c r="AIK4" s="139"/>
      <c r="AIL4" s="139"/>
      <c r="AIM4" s="139"/>
      <c r="AIN4" s="139"/>
      <c r="AIO4" s="139"/>
      <c r="AIP4" s="139"/>
      <c r="AIQ4" s="139"/>
      <c r="AIR4" s="139"/>
      <c r="AIS4" s="139"/>
      <c r="AIT4" s="139"/>
      <c r="AIU4" s="139"/>
      <c r="AIV4" s="139"/>
      <c r="AIW4" s="139"/>
      <c r="AIX4" s="139"/>
      <c r="AIY4" s="139"/>
      <c r="AIZ4" s="139"/>
      <c r="AJA4" s="139"/>
      <c r="AJB4" s="139"/>
      <c r="AJC4" s="139"/>
      <c r="AJD4" s="139"/>
      <c r="AJE4" s="139"/>
      <c r="AJF4" s="139"/>
      <c r="AJG4" s="139"/>
      <c r="AJH4" s="139"/>
      <c r="AJI4" s="139"/>
      <c r="AJJ4" s="139"/>
      <c r="AJK4" s="139"/>
      <c r="AJL4" s="139"/>
      <c r="AJM4" s="139"/>
      <c r="AJN4" s="139"/>
      <c r="AJO4" s="139"/>
      <c r="AJP4" s="139"/>
      <c r="AJQ4" s="139"/>
      <c r="AJR4" s="139"/>
      <c r="AJS4" s="139"/>
      <c r="AJT4" s="139"/>
      <c r="AJU4" s="139"/>
      <c r="AJV4" s="139"/>
      <c r="AJW4" s="139"/>
      <c r="AJX4" s="139"/>
      <c r="AJY4" s="139"/>
      <c r="AJZ4" s="139"/>
      <c r="AKA4" s="139"/>
      <c r="AKB4" s="139"/>
      <c r="AKC4" s="139"/>
      <c r="AKD4" s="139"/>
      <c r="AKE4" s="139"/>
      <c r="AKF4" s="139"/>
      <c r="AKG4" s="139"/>
      <c r="AKH4" s="139"/>
      <c r="AKI4" s="139"/>
      <c r="AKJ4" s="139"/>
      <c r="AKK4" s="139"/>
      <c r="AKL4" s="139"/>
      <c r="AKM4" s="139"/>
      <c r="AKN4" s="139"/>
      <c r="AKO4" s="139"/>
      <c r="AKP4" s="139"/>
      <c r="AKQ4" s="139"/>
      <c r="AKR4" s="139"/>
      <c r="AKS4" s="139"/>
      <c r="AKT4" s="139"/>
      <c r="AKU4" s="139"/>
      <c r="AKV4" s="139"/>
      <c r="AKW4" s="139"/>
      <c r="AKX4" s="139"/>
      <c r="AKY4" s="139"/>
      <c r="AKZ4" s="139"/>
      <c r="ALA4" s="139"/>
      <c r="ALB4" s="139"/>
      <c r="ALC4" s="139"/>
      <c r="ALD4" s="139"/>
      <c r="ALE4" s="139"/>
      <c r="ALF4" s="139"/>
      <c r="ALG4" s="139"/>
      <c r="ALH4" s="139"/>
      <c r="ALI4" s="139"/>
      <c r="ALJ4" s="139"/>
      <c r="ALK4" s="139"/>
      <c r="ALL4" s="139"/>
      <c r="ALM4" s="139"/>
      <c r="ALN4" s="139"/>
      <c r="ALO4" s="139"/>
      <c r="ALP4" s="139"/>
      <c r="ALQ4" s="139"/>
      <c r="ALR4" s="139"/>
      <c r="ALS4" s="139"/>
      <c r="ALT4" s="139"/>
      <c r="ALU4" s="139"/>
      <c r="ALV4" s="139"/>
      <c r="ALW4" s="139"/>
      <c r="ALX4" s="139"/>
      <c r="ALY4" s="139"/>
      <c r="ALZ4" s="139"/>
      <c r="AMA4" s="139"/>
      <c r="AMB4" s="139"/>
      <c r="AMC4" s="139"/>
      <c r="AMD4" s="139"/>
      <c r="AME4" s="139"/>
      <c r="AMF4" s="139"/>
      <c r="AMG4" s="139"/>
      <c r="AMH4" s="139"/>
      <c r="AMI4" s="139"/>
      <c r="AMJ4" s="139"/>
    </row>
    <row r="5" spans="1:1024" s="140" customFormat="1" x14ac:dyDescent="0.25">
      <c r="A5" s="146" t="s">
        <v>2</v>
      </c>
      <c r="B5" s="215" t="str">
        <f>CONCATENATE(B34,C34,D34,E34,F34,G34,H34,I34,J34,K34,L34,M34,N34,O34,P34,Q34,R34,S34,T34,U34,V34,W34,X34,Y34,Z34,AA34,AB34,AC34,AD34,AE34,AF34,AG34,AH34,AI34,AJ34,AK34)</f>
        <v>000000001101000010011000110010111001000101000000010000000000000010000011011000000000000000000000000000000000000000000000000000000000000000000000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39"/>
      <c r="EC5" s="139"/>
      <c r="ED5" s="139"/>
      <c r="EE5" s="139"/>
      <c r="EF5" s="139"/>
      <c r="EG5" s="139"/>
      <c r="EH5" s="139"/>
      <c r="EI5" s="139"/>
      <c r="EJ5" s="139"/>
      <c r="EK5" s="139"/>
      <c r="EL5" s="139"/>
      <c r="EM5" s="139"/>
      <c r="EN5" s="139"/>
      <c r="EO5" s="139"/>
      <c r="EP5" s="139"/>
      <c r="EQ5" s="139"/>
      <c r="ER5" s="139"/>
      <c r="ES5" s="139"/>
      <c r="ET5" s="139"/>
      <c r="EU5" s="139"/>
      <c r="EV5" s="139"/>
      <c r="EW5" s="139"/>
      <c r="EX5" s="139"/>
      <c r="EY5" s="139"/>
      <c r="EZ5" s="139"/>
      <c r="FA5" s="139"/>
      <c r="FB5" s="139"/>
      <c r="FC5" s="139"/>
      <c r="FD5" s="139"/>
      <c r="FE5" s="139"/>
      <c r="FF5" s="139"/>
      <c r="FG5" s="139"/>
      <c r="FH5" s="139"/>
      <c r="FI5" s="139"/>
      <c r="FJ5" s="139"/>
      <c r="FK5" s="139"/>
      <c r="FL5" s="139"/>
      <c r="FM5" s="139"/>
      <c r="FN5" s="139"/>
      <c r="FO5" s="139"/>
      <c r="FP5" s="139"/>
      <c r="FQ5" s="139"/>
      <c r="FR5" s="139"/>
      <c r="FS5" s="139"/>
      <c r="FT5" s="139"/>
      <c r="FU5" s="139"/>
      <c r="FV5" s="139"/>
      <c r="FW5" s="139"/>
      <c r="FX5" s="139"/>
      <c r="FY5" s="139"/>
      <c r="FZ5" s="139"/>
      <c r="GA5" s="139"/>
      <c r="GB5" s="139"/>
      <c r="GC5" s="139"/>
      <c r="GD5" s="139"/>
      <c r="GE5" s="139"/>
      <c r="GF5" s="139"/>
      <c r="GG5" s="139"/>
      <c r="GH5" s="139"/>
      <c r="GI5" s="139"/>
      <c r="GJ5" s="139"/>
      <c r="GK5" s="139"/>
      <c r="GL5" s="139"/>
      <c r="GM5" s="139"/>
      <c r="GN5" s="139"/>
      <c r="GO5" s="139"/>
      <c r="GP5" s="139"/>
      <c r="GQ5" s="139"/>
      <c r="GR5" s="139"/>
      <c r="GS5" s="139"/>
      <c r="GT5" s="139"/>
      <c r="GU5" s="139"/>
      <c r="GV5" s="139"/>
      <c r="GW5" s="139"/>
      <c r="GX5" s="139"/>
      <c r="GY5" s="139"/>
      <c r="GZ5" s="139"/>
      <c r="HA5" s="139"/>
      <c r="HB5" s="139"/>
      <c r="HC5" s="139"/>
      <c r="HD5" s="139"/>
      <c r="HE5" s="139"/>
      <c r="HF5" s="139"/>
      <c r="HG5" s="139"/>
      <c r="HH5" s="139"/>
      <c r="HI5" s="139"/>
      <c r="HJ5" s="139"/>
      <c r="HK5" s="139"/>
      <c r="HL5" s="139"/>
      <c r="HM5" s="139"/>
      <c r="HN5" s="139"/>
      <c r="HO5" s="139"/>
      <c r="HP5" s="139"/>
      <c r="HQ5" s="139"/>
      <c r="HR5" s="139"/>
      <c r="HS5" s="139"/>
      <c r="HT5" s="139"/>
      <c r="HU5" s="139"/>
      <c r="HV5" s="139"/>
      <c r="HW5" s="139"/>
      <c r="HX5" s="139"/>
      <c r="HY5" s="139"/>
      <c r="HZ5" s="139"/>
      <c r="IA5" s="139"/>
      <c r="IB5" s="139"/>
      <c r="IC5" s="139"/>
      <c r="ID5" s="139"/>
      <c r="IE5" s="139"/>
      <c r="IF5" s="139"/>
      <c r="IG5" s="139"/>
      <c r="IH5" s="139"/>
      <c r="II5" s="139"/>
      <c r="IJ5" s="139"/>
      <c r="IK5" s="139"/>
      <c r="IL5" s="139"/>
      <c r="IM5" s="139"/>
      <c r="IN5" s="139"/>
      <c r="IO5" s="139"/>
      <c r="IP5" s="139"/>
      <c r="IQ5" s="139"/>
      <c r="IR5" s="139"/>
      <c r="IS5" s="139"/>
      <c r="IT5" s="139"/>
      <c r="IU5" s="139"/>
      <c r="IV5" s="139"/>
      <c r="IW5" s="139"/>
      <c r="IX5" s="139"/>
      <c r="IY5" s="139"/>
      <c r="IZ5" s="139"/>
      <c r="JA5" s="139"/>
      <c r="JB5" s="139"/>
      <c r="JC5" s="139"/>
      <c r="JD5" s="139"/>
      <c r="JE5" s="139"/>
      <c r="JF5" s="139"/>
      <c r="JG5" s="139"/>
      <c r="JH5" s="139"/>
      <c r="JI5" s="139"/>
      <c r="JJ5" s="139"/>
      <c r="JK5" s="139"/>
      <c r="JL5" s="139"/>
      <c r="JM5" s="139"/>
      <c r="JN5" s="139"/>
      <c r="JO5" s="139"/>
      <c r="JP5" s="139"/>
      <c r="JQ5" s="139"/>
      <c r="JR5" s="139"/>
      <c r="JS5" s="139"/>
      <c r="JT5" s="139"/>
      <c r="JU5" s="139"/>
      <c r="JV5" s="139"/>
      <c r="JW5" s="139"/>
      <c r="JX5" s="139"/>
      <c r="JY5" s="139"/>
      <c r="JZ5" s="139"/>
      <c r="KA5" s="139"/>
      <c r="KB5" s="139"/>
      <c r="KC5" s="139"/>
      <c r="KD5" s="139"/>
      <c r="KE5" s="139"/>
      <c r="KF5" s="139"/>
      <c r="KG5" s="139"/>
      <c r="KH5" s="139"/>
      <c r="KI5" s="139"/>
      <c r="KJ5" s="139"/>
      <c r="KK5" s="139"/>
      <c r="KL5" s="139"/>
      <c r="KM5" s="139"/>
      <c r="KN5" s="139"/>
      <c r="KO5" s="139"/>
      <c r="KP5" s="139"/>
      <c r="KQ5" s="139"/>
      <c r="KR5" s="139"/>
      <c r="KS5" s="139"/>
      <c r="KT5" s="139"/>
      <c r="KU5" s="139"/>
      <c r="KV5" s="139"/>
      <c r="KW5" s="139"/>
      <c r="KX5" s="139"/>
      <c r="KY5" s="139"/>
      <c r="KZ5" s="139"/>
      <c r="LA5" s="139"/>
      <c r="LB5" s="139"/>
      <c r="LC5" s="139"/>
      <c r="LD5" s="139"/>
      <c r="LE5" s="139"/>
      <c r="LF5" s="139"/>
      <c r="LG5" s="139"/>
      <c r="LH5" s="139"/>
      <c r="LI5" s="139"/>
      <c r="LJ5" s="139"/>
      <c r="LK5" s="139"/>
      <c r="LL5" s="139"/>
      <c r="LM5" s="139"/>
      <c r="LN5" s="139"/>
      <c r="LO5" s="139"/>
      <c r="LP5" s="139"/>
      <c r="LQ5" s="139"/>
      <c r="LR5" s="139"/>
      <c r="LS5" s="139"/>
      <c r="LT5" s="139"/>
      <c r="LU5" s="139"/>
      <c r="LV5" s="139"/>
      <c r="LW5" s="139"/>
      <c r="LX5" s="139"/>
      <c r="LY5" s="139"/>
      <c r="LZ5" s="139"/>
      <c r="MA5" s="139"/>
      <c r="MB5" s="139"/>
      <c r="MC5" s="139"/>
      <c r="MD5" s="139"/>
      <c r="ME5" s="139"/>
      <c r="MF5" s="139"/>
      <c r="MG5" s="139"/>
      <c r="MH5" s="139"/>
      <c r="MI5" s="139"/>
      <c r="MJ5" s="139"/>
      <c r="MK5" s="139"/>
      <c r="ML5" s="139"/>
      <c r="MM5" s="139"/>
      <c r="MN5" s="139"/>
      <c r="MO5" s="139"/>
      <c r="MP5" s="139"/>
      <c r="MQ5" s="139"/>
      <c r="MR5" s="139"/>
      <c r="MS5" s="139"/>
      <c r="MT5" s="139"/>
      <c r="MU5" s="139"/>
      <c r="MV5" s="139"/>
      <c r="MW5" s="139"/>
      <c r="MX5" s="139"/>
      <c r="MY5" s="139"/>
      <c r="MZ5" s="139"/>
      <c r="NA5" s="139"/>
      <c r="NB5" s="139"/>
      <c r="NC5" s="139"/>
      <c r="ND5" s="139"/>
      <c r="NE5" s="139"/>
      <c r="NF5" s="139"/>
      <c r="NG5" s="139"/>
      <c r="NH5" s="139"/>
      <c r="NI5" s="139"/>
      <c r="NJ5" s="139"/>
      <c r="NK5" s="139"/>
      <c r="NL5" s="139"/>
      <c r="NM5" s="139"/>
      <c r="NN5" s="139"/>
      <c r="NO5" s="139"/>
      <c r="NP5" s="139"/>
      <c r="NQ5" s="139"/>
      <c r="NR5" s="139"/>
      <c r="NS5" s="139"/>
      <c r="NT5" s="139"/>
      <c r="NU5" s="139"/>
      <c r="NV5" s="139"/>
      <c r="NW5" s="139"/>
      <c r="NX5" s="139"/>
      <c r="NY5" s="139"/>
      <c r="NZ5" s="139"/>
      <c r="OA5" s="139"/>
      <c r="OB5" s="139"/>
      <c r="OC5" s="139"/>
      <c r="OD5" s="139"/>
      <c r="OE5" s="139"/>
      <c r="OF5" s="139"/>
      <c r="OG5" s="139"/>
      <c r="OH5" s="139"/>
      <c r="OI5" s="139"/>
      <c r="OJ5" s="139"/>
      <c r="OK5" s="139"/>
      <c r="OL5" s="139"/>
      <c r="OM5" s="139"/>
      <c r="ON5" s="139"/>
      <c r="OO5" s="139"/>
      <c r="OP5" s="139"/>
      <c r="OQ5" s="139"/>
      <c r="OR5" s="139"/>
      <c r="OS5" s="139"/>
      <c r="OT5" s="139"/>
      <c r="OU5" s="139"/>
      <c r="OV5" s="139"/>
      <c r="OW5" s="139"/>
      <c r="OX5" s="139"/>
      <c r="OY5" s="139"/>
      <c r="OZ5" s="139"/>
      <c r="PA5" s="139"/>
      <c r="PB5" s="139"/>
      <c r="PC5" s="139"/>
      <c r="PD5" s="139"/>
      <c r="PE5" s="139"/>
      <c r="PF5" s="139"/>
      <c r="PG5" s="139"/>
      <c r="PH5" s="139"/>
      <c r="PI5" s="139"/>
      <c r="PJ5" s="139"/>
      <c r="PK5" s="139"/>
      <c r="PL5" s="139"/>
      <c r="PM5" s="139"/>
      <c r="PN5" s="139"/>
      <c r="PO5" s="139"/>
      <c r="PP5" s="139"/>
      <c r="PQ5" s="139"/>
      <c r="PR5" s="139"/>
      <c r="PS5" s="139"/>
      <c r="PT5" s="139"/>
      <c r="PU5" s="139"/>
      <c r="PV5" s="139"/>
      <c r="PW5" s="139"/>
      <c r="PX5" s="139"/>
      <c r="PY5" s="139"/>
      <c r="PZ5" s="139"/>
      <c r="QA5" s="139"/>
      <c r="QB5" s="139"/>
      <c r="QC5" s="139"/>
      <c r="QD5" s="139"/>
      <c r="QE5" s="139"/>
      <c r="QF5" s="139"/>
      <c r="QG5" s="139"/>
      <c r="QH5" s="139"/>
      <c r="QI5" s="139"/>
      <c r="QJ5" s="139"/>
      <c r="QK5" s="139"/>
      <c r="QL5" s="139"/>
      <c r="QM5" s="139"/>
      <c r="QN5" s="139"/>
      <c r="QO5" s="139"/>
      <c r="QP5" s="139"/>
      <c r="QQ5" s="139"/>
      <c r="QR5" s="139"/>
      <c r="QS5" s="139"/>
      <c r="QT5" s="139"/>
      <c r="QU5" s="139"/>
      <c r="QV5" s="139"/>
      <c r="QW5" s="139"/>
      <c r="QX5" s="139"/>
      <c r="QY5" s="139"/>
      <c r="QZ5" s="139"/>
      <c r="RA5" s="139"/>
      <c r="RB5" s="139"/>
      <c r="RC5" s="139"/>
      <c r="RD5" s="139"/>
      <c r="RE5" s="139"/>
      <c r="RF5" s="139"/>
      <c r="RG5" s="139"/>
      <c r="RH5" s="139"/>
      <c r="RI5" s="139"/>
      <c r="RJ5" s="139"/>
      <c r="RK5" s="139"/>
      <c r="RL5" s="139"/>
      <c r="RM5" s="139"/>
      <c r="RN5" s="139"/>
      <c r="RO5" s="139"/>
      <c r="RP5" s="139"/>
      <c r="RQ5" s="139"/>
      <c r="RR5" s="139"/>
      <c r="RS5" s="139"/>
      <c r="RT5" s="139"/>
      <c r="RU5" s="139"/>
      <c r="RV5" s="139"/>
      <c r="RW5" s="139"/>
      <c r="RX5" s="139"/>
      <c r="RY5" s="139"/>
      <c r="RZ5" s="139"/>
      <c r="SA5" s="139"/>
      <c r="SB5" s="139"/>
      <c r="SC5" s="139"/>
      <c r="SD5" s="139"/>
      <c r="SE5" s="139"/>
      <c r="SF5" s="139"/>
      <c r="SG5" s="139"/>
      <c r="SH5" s="139"/>
      <c r="SI5" s="139"/>
      <c r="SJ5" s="139"/>
      <c r="SK5" s="139"/>
      <c r="SL5" s="139"/>
      <c r="SM5" s="139"/>
      <c r="SN5" s="139"/>
      <c r="SO5" s="139"/>
      <c r="SP5" s="139"/>
      <c r="SQ5" s="139"/>
      <c r="SR5" s="139"/>
      <c r="SS5" s="139"/>
      <c r="ST5" s="139"/>
      <c r="SU5" s="139"/>
      <c r="SV5" s="139"/>
      <c r="SW5" s="139"/>
      <c r="SX5" s="139"/>
      <c r="SY5" s="139"/>
      <c r="SZ5" s="139"/>
      <c r="TA5" s="139"/>
      <c r="TB5" s="139"/>
      <c r="TC5" s="139"/>
      <c r="TD5" s="139"/>
      <c r="TE5" s="139"/>
      <c r="TF5" s="139"/>
      <c r="TG5" s="139"/>
      <c r="TH5" s="139"/>
      <c r="TI5" s="139"/>
      <c r="TJ5" s="139"/>
      <c r="TK5" s="139"/>
      <c r="TL5" s="139"/>
      <c r="TM5" s="139"/>
      <c r="TN5" s="139"/>
      <c r="TO5" s="139"/>
      <c r="TP5" s="139"/>
      <c r="TQ5" s="139"/>
      <c r="TR5" s="139"/>
      <c r="TS5" s="139"/>
      <c r="TT5" s="139"/>
      <c r="TU5" s="139"/>
      <c r="TV5" s="139"/>
      <c r="TW5" s="139"/>
      <c r="TX5" s="139"/>
      <c r="TY5" s="139"/>
      <c r="TZ5" s="139"/>
      <c r="UA5" s="139"/>
      <c r="UB5" s="139"/>
      <c r="UC5" s="139"/>
      <c r="UD5" s="139"/>
      <c r="UE5" s="139"/>
      <c r="UF5" s="139"/>
      <c r="UG5" s="139"/>
      <c r="UH5" s="139"/>
      <c r="UI5" s="139"/>
      <c r="UJ5" s="139"/>
      <c r="UK5" s="139"/>
      <c r="UL5" s="139"/>
      <c r="UM5" s="139"/>
      <c r="UN5" s="139"/>
      <c r="UO5" s="139"/>
      <c r="UP5" s="139"/>
      <c r="UQ5" s="139"/>
      <c r="UR5" s="139"/>
      <c r="US5" s="139"/>
      <c r="UT5" s="139"/>
      <c r="UU5" s="139"/>
      <c r="UV5" s="139"/>
      <c r="UW5" s="139"/>
      <c r="UX5" s="139"/>
      <c r="UY5" s="139"/>
      <c r="UZ5" s="139"/>
      <c r="VA5" s="139"/>
      <c r="VB5" s="139"/>
      <c r="VC5" s="139"/>
      <c r="VD5" s="139"/>
      <c r="VE5" s="139"/>
      <c r="VF5" s="139"/>
      <c r="VG5" s="139"/>
      <c r="VH5" s="139"/>
      <c r="VI5" s="139"/>
      <c r="VJ5" s="139"/>
      <c r="VK5" s="139"/>
      <c r="VL5" s="139"/>
      <c r="VM5" s="139"/>
      <c r="VN5" s="139"/>
      <c r="VO5" s="139"/>
      <c r="VP5" s="139"/>
      <c r="VQ5" s="139"/>
      <c r="VR5" s="139"/>
      <c r="VS5" s="139"/>
      <c r="VT5" s="139"/>
      <c r="VU5" s="139"/>
      <c r="VV5" s="139"/>
      <c r="VW5" s="139"/>
      <c r="VX5" s="139"/>
      <c r="VY5" s="139"/>
      <c r="VZ5" s="139"/>
      <c r="WA5" s="139"/>
      <c r="WB5" s="139"/>
      <c r="WC5" s="139"/>
      <c r="WD5" s="139"/>
      <c r="WE5" s="139"/>
      <c r="WF5" s="139"/>
      <c r="WG5" s="139"/>
      <c r="WH5" s="139"/>
      <c r="WI5" s="139"/>
      <c r="WJ5" s="139"/>
      <c r="WK5" s="139"/>
      <c r="WL5" s="139"/>
      <c r="WM5" s="139"/>
      <c r="WN5" s="139"/>
      <c r="WO5" s="139"/>
      <c r="WP5" s="139"/>
      <c r="WQ5" s="139"/>
      <c r="WR5" s="139"/>
      <c r="WS5" s="139"/>
      <c r="WT5" s="139"/>
      <c r="WU5" s="139"/>
      <c r="WV5" s="139"/>
      <c r="WW5" s="139"/>
      <c r="WX5" s="139"/>
      <c r="WY5" s="139"/>
      <c r="WZ5" s="139"/>
      <c r="XA5" s="139"/>
      <c r="XB5" s="139"/>
      <c r="XC5" s="139"/>
      <c r="XD5" s="139"/>
      <c r="XE5" s="139"/>
      <c r="XF5" s="139"/>
      <c r="XG5" s="139"/>
      <c r="XH5" s="139"/>
      <c r="XI5" s="139"/>
      <c r="XJ5" s="139"/>
      <c r="XK5" s="139"/>
      <c r="XL5" s="139"/>
      <c r="XM5" s="139"/>
      <c r="XN5" s="139"/>
      <c r="XO5" s="139"/>
      <c r="XP5" s="139"/>
      <c r="XQ5" s="139"/>
      <c r="XR5" s="139"/>
      <c r="XS5" s="139"/>
      <c r="XT5" s="139"/>
      <c r="XU5" s="139"/>
      <c r="XV5" s="139"/>
      <c r="XW5" s="139"/>
      <c r="XX5" s="139"/>
      <c r="XY5" s="139"/>
      <c r="XZ5" s="139"/>
      <c r="YA5" s="139"/>
      <c r="YB5" s="139"/>
      <c r="YC5" s="139"/>
      <c r="YD5" s="139"/>
      <c r="YE5" s="139"/>
      <c r="YF5" s="139"/>
      <c r="YG5" s="139"/>
      <c r="YH5" s="139"/>
      <c r="YI5" s="139"/>
      <c r="YJ5" s="139"/>
      <c r="YK5" s="139"/>
      <c r="YL5" s="139"/>
      <c r="YM5" s="139"/>
      <c r="YN5" s="139"/>
      <c r="YO5" s="139"/>
      <c r="YP5" s="139"/>
      <c r="YQ5" s="139"/>
      <c r="YR5" s="139"/>
      <c r="YS5" s="139"/>
      <c r="YT5" s="139"/>
      <c r="YU5" s="139"/>
      <c r="YV5" s="139"/>
      <c r="YW5" s="139"/>
      <c r="YX5" s="139"/>
      <c r="YY5" s="139"/>
      <c r="YZ5" s="139"/>
      <c r="ZA5" s="139"/>
      <c r="ZB5" s="139"/>
      <c r="ZC5" s="139"/>
      <c r="ZD5" s="139"/>
      <c r="ZE5" s="139"/>
      <c r="ZF5" s="139"/>
      <c r="ZG5" s="139"/>
      <c r="ZH5" s="139"/>
      <c r="ZI5" s="139"/>
      <c r="ZJ5" s="139"/>
      <c r="ZK5" s="139"/>
      <c r="ZL5" s="139"/>
      <c r="ZM5" s="139"/>
      <c r="ZN5" s="139"/>
      <c r="ZO5" s="139"/>
      <c r="ZP5" s="139"/>
      <c r="ZQ5" s="139"/>
      <c r="ZR5" s="139"/>
      <c r="ZS5" s="139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</row>
    <row r="6" spans="1:1024" s="140" customFormat="1" x14ac:dyDescent="0.25">
      <c r="A6" s="146" t="s">
        <v>3</v>
      </c>
      <c r="B6" s="147">
        <v>1</v>
      </c>
      <c r="C6" s="148">
        <f t="shared" ref="C6:J6" si="0">B6+B13</f>
        <v>6</v>
      </c>
      <c r="D6" s="148">
        <f t="shared" si="0"/>
        <v>9</v>
      </c>
      <c r="E6" s="148">
        <f t="shared" si="0"/>
        <v>20</v>
      </c>
      <c r="F6" s="148">
        <f t="shared" si="0"/>
        <v>29</v>
      </c>
      <c r="G6" s="148">
        <f t="shared" si="0"/>
        <v>44</v>
      </c>
      <c r="H6" s="148">
        <f t="shared" si="0"/>
        <v>54</v>
      </c>
      <c r="I6" s="148">
        <f t="shared" si="0"/>
        <v>66</v>
      </c>
      <c r="J6" s="148">
        <f t="shared" si="0"/>
        <v>76</v>
      </c>
      <c r="K6" s="14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39"/>
      <c r="DK6" s="139"/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39"/>
      <c r="EA6" s="139"/>
      <c r="EB6" s="139"/>
      <c r="EC6" s="139"/>
      <c r="ED6" s="139"/>
      <c r="EE6" s="139"/>
      <c r="EF6" s="139"/>
      <c r="EG6" s="139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S6" s="139"/>
      <c r="FT6" s="139"/>
      <c r="FU6" s="139"/>
      <c r="FV6" s="139"/>
      <c r="FW6" s="139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39"/>
      <c r="HD6" s="139"/>
      <c r="HE6" s="139"/>
      <c r="HF6" s="139"/>
      <c r="HG6" s="139"/>
      <c r="HH6" s="139"/>
      <c r="HI6" s="139"/>
      <c r="HJ6" s="139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/>
      <c r="JA6" s="139"/>
      <c r="JB6" s="139"/>
      <c r="JC6" s="139"/>
      <c r="JD6" s="139"/>
      <c r="JE6" s="139"/>
      <c r="JF6" s="139"/>
      <c r="JG6" s="139"/>
      <c r="JH6" s="139"/>
      <c r="JI6" s="139"/>
      <c r="JJ6" s="139"/>
      <c r="JK6" s="139"/>
      <c r="JL6" s="139"/>
      <c r="JM6" s="139"/>
      <c r="JN6" s="139"/>
      <c r="JO6" s="139"/>
      <c r="JP6" s="139"/>
      <c r="JQ6" s="139"/>
      <c r="JR6" s="139"/>
      <c r="JS6" s="139"/>
      <c r="JT6" s="139"/>
      <c r="JU6" s="139"/>
      <c r="JV6" s="139"/>
      <c r="JW6" s="139"/>
      <c r="JX6" s="139"/>
      <c r="JY6" s="139"/>
      <c r="JZ6" s="139"/>
      <c r="KA6" s="139"/>
      <c r="KB6" s="139"/>
      <c r="KC6" s="139"/>
      <c r="KD6" s="139"/>
      <c r="KE6" s="139"/>
      <c r="KF6" s="139"/>
      <c r="KG6" s="139"/>
      <c r="KH6" s="139"/>
      <c r="KI6" s="139"/>
      <c r="KJ6" s="139"/>
      <c r="KK6" s="139"/>
      <c r="KL6" s="139"/>
      <c r="KM6" s="139"/>
      <c r="KN6" s="139"/>
      <c r="KO6" s="139"/>
      <c r="KP6" s="139"/>
      <c r="KQ6" s="139"/>
      <c r="KR6" s="139"/>
      <c r="KS6" s="139"/>
      <c r="KT6" s="139"/>
      <c r="KU6" s="139"/>
      <c r="KV6" s="139"/>
      <c r="KW6" s="139"/>
      <c r="KX6" s="139"/>
      <c r="KY6" s="139"/>
      <c r="KZ6" s="139"/>
      <c r="LA6" s="139"/>
      <c r="LB6" s="139"/>
      <c r="LC6" s="139"/>
      <c r="LD6" s="139"/>
      <c r="LE6" s="139"/>
      <c r="LF6" s="139"/>
      <c r="LG6" s="139"/>
      <c r="LH6" s="139"/>
      <c r="LI6" s="139"/>
      <c r="LJ6" s="139"/>
      <c r="LK6" s="139"/>
      <c r="LL6" s="139"/>
      <c r="LM6" s="139"/>
      <c r="LN6" s="139"/>
      <c r="LO6" s="139"/>
      <c r="LP6" s="139"/>
      <c r="LQ6" s="139"/>
      <c r="LR6" s="139"/>
      <c r="LS6" s="139"/>
      <c r="LT6" s="139"/>
      <c r="LU6" s="139"/>
      <c r="LV6" s="139"/>
      <c r="LW6" s="139"/>
      <c r="LX6" s="139"/>
      <c r="LY6" s="139"/>
      <c r="LZ6" s="139"/>
      <c r="MA6" s="139"/>
      <c r="MB6" s="139"/>
      <c r="MC6" s="139"/>
      <c r="MD6" s="139"/>
      <c r="ME6" s="139"/>
      <c r="MF6" s="139"/>
      <c r="MG6" s="139"/>
      <c r="MH6" s="139"/>
      <c r="MI6" s="139"/>
      <c r="MJ6" s="139"/>
      <c r="MK6" s="139"/>
      <c r="ML6" s="139"/>
      <c r="MM6" s="139"/>
      <c r="MN6" s="139"/>
      <c r="MO6" s="139"/>
      <c r="MP6" s="139"/>
      <c r="MQ6" s="139"/>
      <c r="MR6" s="139"/>
      <c r="MS6" s="139"/>
      <c r="MT6" s="139"/>
      <c r="MU6" s="139"/>
      <c r="MV6" s="139"/>
      <c r="MW6" s="139"/>
      <c r="MX6" s="139"/>
      <c r="MY6" s="139"/>
      <c r="MZ6" s="139"/>
      <c r="NA6" s="139"/>
      <c r="NB6" s="139"/>
      <c r="NC6" s="139"/>
      <c r="ND6" s="139"/>
      <c r="NE6" s="139"/>
      <c r="NF6" s="139"/>
      <c r="NG6" s="139"/>
      <c r="NH6" s="139"/>
      <c r="NI6" s="139"/>
      <c r="NJ6" s="139"/>
      <c r="NK6" s="139"/>
      <c r="NL6" s="139"/>
      <c r="NM6" s="139"/>
      <c r="NN6" s="139"/>
      <c r="NO6" s="139"/>
      <c r="NP6" s="139"/>
      <c r="NQ6" s="139"/>
      <c r="NR6" s="139"/>
      <c r="NS6" s="139"/>
      <c r="NT6" s="139"/>
      <c r="NU6" s="139"/>
      <c r="NV6" s="139"/>
      <c r="NW6" s="139"/>
      <c r="NX6" s="139"/>
      <c r="NY6" s="139"/>
      <c r="NZ6" s="139"/>
      <c r="OA6" s="139"/>
      <c r="OB6" s="139"/>
      <c r="OC6" s="139"/>
      <c r="OD6" s="139"/>
      <c r="OE6" s="139"/>
      <c r="OF6" s="139"/>
      <c r="OG6" s="139"/>
      <c r="OH6" s="139"/>
      <c r="OI6" s="139"/>
      <c r="OJ6" s="139"/>
      <c r="OK6" s="139"/>
      <c r="OL6" s="139"/>
      <c r="OM6" s="139"/>
      <c r="ON6" s="139"/>
      <c r="OO6" s="139"/>
      <c r="OP6" s="139"/>
      <c r="OQ6" s="139"/>
      <c r="OR6" s="139"/>
      <c r="OS6" s="139"/>
      <c r="OT6" s="139"/>
      <c r="OU6" s="139"/>
      <c r="OV6" s="139"/>
      <c r="OW6" s="139"/>
      <c r="OX6" s="139"/>
      <c r="OY6" s="139"/>
      <c r="OZ6" s="139"/>
      <c r="PA6" s="139"/>
      <c r="PB6" s="139"/>
      <c r="PC6" s="139"/>
      <c r="PD6" s="139"/>
      <c r="PE6" s="139"/>
      <c r="PF6" s="139"/>
      <c r="PG6" s="139"/>
      <c r="PH6" s="139"/>
      <c r="PI6" s="139"/>
      <c r="PJ6" s="139"/>
      <c r="PK6" s="139"/>
      <c r="PL6" s="139"/>
      <c r="PM6" s="139"/>
      <c r="PN6" s="139"/>
      <c r="PO6" s="139"/>
      <c r="PP6" s="139"/>
      <c r="PQ6" s="139"/>
      <c r="PR6" s="139"/>
      <c r="PS6" s="139"/>
      <c r="PT6" s="139"/>
      <c r="PU6" s="139"/>
      <c r="PV6" s="139"/>
      <c r="PW6" s="139"/>
      <c r="PX6" s="139"/>
      <c r="PY6" s="139"/>
      <c r="PZ6" s="139"/>
      <c r="QA6" s="139"/>
      <c r="QB6" s="139"/>
      <c r="QC6" s="139"/>
      <c r="QD6" s="139"/>
      <c r="QE6" s="139"/>
      <c r="QF6" s="139"/>
      <c r="QG6" s="139"/>
      <c r="QH6" s="139"/>
      <c r="QI6" s="139"/>
      <c r="QJ6" s="139"/>
      <c r="QK6" s="139"/>
      <c r="QL6" s="139"/>
      <c r="QM6" s="139"/>
      <c r="QN6" s="139"/>
      <c r="QO6" s="139"/>
      <c r="QP6" s="139"/>
      <c r="QQ6" s="139"/>
      <c r="QR6" s="139"/>
      <c r="QS6" s="139"/>
      <c r="QT6" s="139"/>
      <c r="QU6" s="139"/>
      <c r="QV6" s="139"/>
      <c r="QW6" s="139"/>
      <c r="QX6" s="139"/>
      <c r="QY6" s="139"/>
      <c r="QZ6" s="139"/>
      <c r="RA6" s="139"/>
      <c r="RB6" s="139"/>
      <c r="RC6" s="139"/>
      <c r="RD6" s="139"/>
      <c r="RE6" s="139"/>
      <c r="RF6" s="139"/>
      <c r="RG6" s="139"/>
      <c r="RH6" s="139"/>
      <c r="RI6" s="139"/>
      <c r="RJ6" s="139"/>
      <c r="RK6" s="139"/>
      <c r="RL6" s="139"/>
      <c r="RM6" s="139"/>
      <c r="RN6" s="139"/>
      <c r="RO6" s="139"/>
      <c r="RP6" s="139"/>
      <c r="RQ6" s="139"/>
      <c r="RR6" s="139"/>
      <c r="RS6" s="139"/>
      <c r="RT6" s="139"/>
      <c r="RU6" s="139"/>
      <c r="RV6" s="139"/>
      <c r="RW6" s="139"/>
      <c r="RX6" s="139"/>
      <c r="RY6" s="139"/>
      <c r="RZ6" s="139"/>
      <c r="SA6" s="139"/>
      <c r="SB6" s="139"/>
      <c r="SC6" s="139"/>
      <c r="SD6" s="139"/>
      <c r="SE6" s="139"/>
      <c r="SF6" s="139"/>
      <c r="SG6" s="139"/>
      <c r="SH6" s="139"/>
      <c r="SI6" s="139"/>
      <c r="SJ6" s="139"/>
      <c r="SK6" s="139"/>
      <c r="SL6" s="139"/>
      <c r="SM6" s="139"/>
      <c r="SN6" s="139"/>
      <c r="SO6" s="139"/>
      <c r="SP6" s="139"/>
      <c r="SQ6" s="139"/>
      <c r="SR6" s="139"/>
      <c r="SS6" s="139"/>
      <c r="ST6" s="139"/>
      <c r="SU6" s="139"/>
      <c r="SV6" s="139"/>
      <c r="SW6" s="139"/>
      <c r="SX6" s="139"/>
      <c r="SY6" s="139"/>
      <c r="SZ6" s="139"/>
      <c r="TA6" s="139"/>
      <c r="TB6" s="139"/>
      <c r="TC6" s="139"/>
      <c r="TD6" s="139"/>
      <c r="TE6" s="139"/>
      <c r="TF6" s="139"/>
      <c r="TG6" s="139"/>
      <c r="TH6" s="139"/>
      <c r="TI6" s="139"/>
      <c r="TJ6" s="139"/>
      <c r="TK6" s="139"/>
      <c r="TL6" s="139"/>
      <c r="TM6" s="139"/>
      <c r="TN6" s="139"/>
      <c r="TO6" s="139"/>
      <c r="TP6" s="139"/>
      <c r="TQ6" s="139"/>
      <c r="TR6" s="139"/>
      <c r="TS6" s="139"/>
      <c r="TT6" s="139"/>
      <c r="TU6" s="139"/>
      <c r="TV6" s="139"/>
      <c r="TW6" s="139"/>
      <c r="TX6" s="139"/>
      <c r="TY6" s="139"/>
      <c r="TZ6" s="139"/>
      <c r="UA6" s="139"/>
      <c r="UB6" s="139"/>
      <c r="UC6" s="139"/>
      <c r="UD6" s="139"/>
      <c r="UE6" s="139"/>
      <c r="UF6" s="139"/>
      <c r="UG6" s="139"/>
      <c r="UH6" s="139"/>
      <c r="UI6" s="139"/>
      <c r="UJ6" s="139"/>
      <c r="UK6" s="139"/>
      <c r="UL6" s="139"/>
      <c r="UM6" s="139"/>
      <c r="UN6" s="139"/>
      <c r="UO6" s="139"/>
      <c r="UP6" s="139"/>
      <c r="UQ6" s="139"/>
      <c r="UR6" s="139"/>
      <c r="US6" s="139"/>
      <c r="UT6" s="139"/>
      <c r="UU6" s="139"/>
      <c r="UV6" s="139"/>
      <c r="UW6" s="139"/>
      <c r="UX6" s="139"/>
      <c r="UY6" s="139"/>
      <c r="UZ6" s="139"/>
      <c r="VA6" s="139"/>
      <c r="VB6" s="139"/>
      <c r="VC6" s="139"/>
      <c r="VD6" s="139"/>
      <c r="VE6" s="139"/>
      <c r="VF6" s="139"/>
      <c r="VG6" s="139"/>
      <c r="VH6" s="139"/>
      <c r="VI6" s="139"/>
      <c r="VJ6" s="139"/>
      <c r="VK6" s="139"/>
      <c r="VL6" s="139"/>
      <c r="VM6" s="139"/>
      <c r="VN6" s="139"/>
      <c r="VO6" s="139"/>
      <c r="VP6" s="139"/>
      <c r="VQ6" s="139"/>
      <c r="VR6" s="139"/>
      <c r="VS6" s="139"/>
      <c r="VT6" s="139"/>
      <c r="VU6" s="139"/>
      <c r="VV6" s="139"/>
      <c r="VW6" s="139"/>
      <c r="VX6" s="139"/>
      <c r="VY6" s="139"/>
      <c r="VZ6" s="139"/>
      <c r="WA6" s="139"/>
      <c r="WB6" s="139"/>
      <c r="WC6" s="139"/>
      <c r="WD6" s="139"/>
      <c r="WE6" s="139"/>
      <c r="WF6" s="139"/>
      <c r="WG6" s="139"/>
      <c r="WH6" s="139"/>
      <c r="WI6" s="139"/>
      <c r="WJ6" s="139"/>
      <c r="WK6" s="139"/>
      <c r="WL6" s="139"/>
      <c r="WM6" s="139"/>
      <c r="WN6" s="139"/>
      <c r="WO6" s="139"/>
      <c r="WP6" s="139"/>
      <c r="WQ6" s="139"/>
      <c r="WR6" s="139"/>
      <c r="WS6" s="139"/>
      <c r="WT6" s="139"/>
      <c r="WU6" s="139"/>
      <c r="WV6" s="139"/>
      <c r="WW6" s="139"/>
      <c r="WX6" s="139"/>
      <c r="WY6" s="139"/>
      <c r="WZ6" s="139"/>
      <c r="XA6" s="139"/>
      <c r="XB6" s="139"/>
      <c r="XC6" s="139"/>
      <c r="XD6" s="139"/>
      <c r="XE6" s="139"/>
      <c r="XF6" s="139"/>
      <c r="XG6" s="139"/>
      <c r="XH6" s="139"/>
      <c r="XI6" s="139"/>
      <c r="XJ6" s="139"/>
      <c r="XK6" s="139"/>
      <c r="XL6" s="139"/>
      <c r="XM6" s="139"/>
      <c r="XN6" s="139"/>
      <c r="XO6" s="139"/>
      <c r="XP6" s="139"/>
      <c r="XQ6" s="139"/>
      <c r="XR6" s="139"/>
      <c r="XS6" s="139"/>
      <c r="XT6" s="139"/>
      <c r="XU6" s="139"/>
      <c r="XV6" s="139"/>
      <c r="XW6" s="139"/>
      <c r="XX6" s="139"/>
      <c r="XY6" s="139"/>
      <c r="XZ6" s="139"/>
      <c r="YA6" s="139"/>
      <c r="YB6" s="139"/>
      <c r="YC6" s="139"/>
      <c r="YD6" s="139"/>
      <c r="YE6" s="139"/>
      <c r="YF6" s="139"/>
      <c r="YG6" s="139"/>
      <c r="YH6" s="139"/>
      <c r="YI6" s="139"/>
      <c r="YJ6" s="139"/>
      <c r="YK6" s="139"/>
      <c r="YL6" s="139"/>
      <c r="YM6" s="139"/>
      <c r="YN6" s="139"/>
      <c r="YO6" s="139"/>
      <c r="YP6" s="139"/>
      <c r="YQ6" s="139"/>
      <c r="YR6" s="139"/>
      <c r="YS6" s="139"/>
      <c r="YT6" s="139"/>
      <c r="YU6" s="139"/>
      <c r="YV6" s="139"/>
      <c r="YW6" s="139"/>
      <c r="YX6" s="139"/>
      <c r="YY6" s="139"/>
      <c r="YZ6" s="139"/>
      <c r="ZA6" s="139"/>
      <c r="ZB6" s="139"/>
      <c r="ZC6" s="139"/>
      <c r="ZD6" s="139"/>
      <c r="ZE6" s="139"/>
      <c r="ZF6" s="139"/>
      <c r="ZG6" s="139"/>
      <c r="ZH6" s="139"/>
      <c r="ZI6" s="139"/>
      <c r="ZJ6" s="139"/>
      <c r="ZK6" s="139"/>
      <c r="ZL6" s="139"/>
      <c r="ZM6" s="139"/>
      <c r="ZN6" s="139"/>
      <c r="ZO6" s="139"/>
      <c r="ZP6" s="139"/>
      <c r="ZQ6" s="139"/>
      <c r="ZR6" s="139"/>
      <c r="ZS6" s="139"/>
      <c r="ZT6" s="139"/>
      <c r="ZU6" s="139"/>
      <c r="ZV6" s="139"/>
      <c r="ZW6" s="139"/>
      <c r="ZX6" s="139"/>
      <c r="ZY6" s="139"/>
      <c r="ZZ6" s="139"/>
      <c r="AAA6" s="139"/>
      <c r="AAB6" s="139"/>
      <c r="AAC6" s="139"/>
      <c r="AAD6" s="139"/>
      <c r="AAE6" s="139"/>
      <c r="AAF6" s="139"/>
      <c r="AAG6" s="139"/>
      <c r="AAH6" s="139"/>
      <c r="AAI6" s="139"/>
      <c r="AAJ6" s="139"/>
      <c r="AAK6" s="139"/>
      <c r="AAL6" s="139"/>
      <c r="AAM6" s="139"/>
      <c r="AAN6" s="139"/>
      <c r="AAO6" s="139"/>
      <c r="AAP6" s="139"/>
      <c r="AAQ6" s="139"/>
      <c r="AAR6" s="139"/>
      <c r="AAS6" s="139"/>
      <c r="AAT6" s="139"/>
      <c r="AAU6" s="139"/>
      <c r="AAV6" s="139"/>
      <c r="AAW6" s="139"/>
      <c r="AAX6" s="139"/>
      <c r="AAY6" s="139"/>
      <c r="AAZ6" s="139"/>
      <c r="ABA6" s="139"/>
      <c r="ABB6" s="139"/>
      <c r="ABC6" s="139"/>
      <c r="ABD6" s="139"/>
      <c r="ABE6" s="139"/>
      <c r="ABF6" s="139"/>
      <c r="ABG6" s="139"/>
      <c r="ABH6" s="139"/>
      <c r="ABI6" s="139"/>
      <c r="ABJ6" s="139"/>
      <c r="ABK6" s="139"/>
      <c r="ABL6" s="139"/>
      <c r="ABM6" s="139"/>
      <c r="ABN6" s="139"/>
      <c r="ABO6" s="139"/>
      <c r="ABP6" s="139"/>
      <c r="ABQ6" s="139"/>
      <c r="ABR6" s="139"/>
      <c r="ABS6" s="139"/>
      <c r="ABT6" s="139"/>
      <c r="ABU6" s="139"/>
      <c r="ABV6" s="139"/>
      <c r="ABW6" s="139"/>
      <c r="ABX6" s="139"/>
      <c r="ABY6" s="139"/>
      <c r="ABZ6" s="139"/>
      <c r="ACA6" s="139"/>
      <c r="ACB6" s="139"/>
      <c r="ACC6" s="139"/>
      <c r="ACD6" s="139"/>
      <c r="ACE6" s="139"/>
      <c r="ACF6" s="139"/>
      <c r="ACG6" s="139"/>
      <c r="ACH6" s="139"/>
      <c r="ACI6" s="139"/>
      <c r="ACJ6" s="139"/>
      <c r="ACK6" s="139"/>
      <c r="ACL6" s="139"/>
      <c r="ACM6" s="139"/>
      <c r="ACN6" s="139"/>
      <c r="ACO6" s="139"/>
      <c r="ACP6" s="139"/>
      <c r="ACQ6" s="139"/>
      <c r="ACR6" s="139"/>
      <c r="ACS6" s="139"/>
      <c r="ACT6" s="139"/>
      <c r="ACU6" s="139"/>
      <c r="ACV6" s="139"/>
      <c r="ACW6" s="139"/>
      <c r="ACX6" s="139"/>
      <c r="ACY6" s="139"/>
      <c r="ACZ6" s="139"/>
      <c r="ADA6" s="139"/>
      <c r="ADB6" s="139"/>
      <c r="ADC6" s="139"/>
      <c r="ADD6" s="139"/>
      <c r="ADE6" s="139"/>
      <c r="ADF6" s="139"/>
      <c r="ADG6" s="139"/>
      <c r="ADH6" s="139"/>
      <c r="ADI6" s="139"/>
      <c r="ADJ6" s="139"/>
      <c r="ADK6" s="139"/>
      <c r="ADL6" s="139"/>
      <c r="ADM6" s="139"/>
      <c r="ADN6" s="139"/>
      <c r="ADO6" s="139"/>
      <c r="ADP6" s="139"/>
      <c r="ADQ6" s="139"/>
      <c r="ADR6" s="139"/>
      <c r="ADS6" s="139"/>
      <c r="ADT6" s="139"/>
      <c r="ADU6" s="139"/>
      <c r="ADV6" s="139"/>
      <c r="ADW6" s="139"/>
      <c r="ADX6" s="139"/>
      <c r="ADY6" s="139"/>
      <c r="ADZ6" s="139"/>
      <c r="AEA6" s="139"/>
      <c r="AEB6" s="139"/>
      <c r="AEC6" s="139"/>
      <c r="AED6" s="139"/>
      <c r="AEE6" s="139"/>
      <c r="AEF6" s="139"/>
      <c r="AEG6" s="139"/>
      <c r="AEH6" s="139"/>
      <c r="AEI6" s="139"/>
      <c r="AEJ6" s="139"/>
      <c r="AEK6" s="139"/>
      <c r="AEL6" s="139"/>
      <c r="AEM6" s="139"/>
      <c r="AEN6" s="139"/>
      <c r="AEO6" s="139"/>
      <c r="AEP6" s="139"/>
      <c r="AEQ6" s="139"/>
      <c r="AER6" s="139"/>
      <c r="AES6" s="139"/>
      <c r="AET6" s="139"/>
      <c r="AEU6" s="139"/>
      <c r="AEV6" s="139"/>
      <c r="AEW6" s="139"/>
      <c r="AEX6" s="139"/>
      <c r="AEY6" s="139"/>
      <c r="AEZ6" s="139"/>
      <c r="AFA6" s="139"/>
      <c r="AFB6" s="139"/>
      <c r="AFC6" s="139"/>
      <c r="AFD6" s="139"/>
      <c r="AFE6" s="139"/>
      <c r="AFF6" s="139"/>
      <c r="AFG6" s="139"/>
      <c r="AFH6" s="139"/>
      <c r="AFI6" s="139"/>
      <c r="AFJ6" s="139"/>
      <c r="AFK6" s="139"/>
      <c r="AFL6" s="139"/>
      <c r="AFM6" s="139"/>
      <c r="AFN6" s="139"/>
      <c r="AFO6" s="139"/>
      <c r="AFP6" s="139"/>
      <c r="AFQ6" s="139"/>
      <c r="AFR6" s="139"/>
      <c r="AFS6" s="139"/>
      <c r="AFT6" s="139"/>
      <c r="AFU6" s="139"/>
      <c r="AFV6" s="139"/>
      <c r="AFW6" s="139"/>
      <c r="AFX6" s="139"/>
      <c r="AFY6" s="139"/>
      <c r="AFZ6" s="139"/>
      <c r="AGA6" s="139"/>
      <c r="AGB6" s="139"/>
      <c r="AGC6" s="139"/>
      <c r="AGD6" s="139"/>
      <c r="AGE6" s="139"/>
      <c r="AGF6" s="139"/>
      <c r="AGG6" s="139"/>
      <c r="AGH6" s="139"/>
      <c r="AGI6" s="139"/>
      <c r="AGJ6" s="139"/>
      <c r="AGK6" s="139"/>
      <c r="AGL6" s="139"/>
      <c r="AGM6" s="139"/>
      <c r="AGN6" s="139"/>
      <c r="AGO6" s="139"/>
      <c r="AGP6" s="139"/>
      <c r="AGQ6" s="139"/>
      <c r="AGR6" s="139"/>
      <c r="AGS6" s="139"/>
      <c r="AGT6" s="139"/>
      <c r="AGU6" s="139"/>
      <c r="AGV6" s="139"/>
      <c r="AGW6" s="139"/>
      <c r="AGX6" s="139"/>
      <c r="AGY6" s="139"/>
      <c r="AGZ6" s="139"/>
      <c r="AHA6" s="139"/>
      <c r="AHB6" s="139"/>
      <c r="AHC6" s="139"/>
      <c r="AHD6" s="139"/>
      <c r="AHE6" s="139"/>
      <c r="AHF6" s="139"/>
      <c r="AHG6" s="139"/>
      <c r="AHH6" s="139"/>
      <c r="AHI6" s="139"/>
      <c r="AHJ6" s="139"/>
      <c r="AHK6" s="139"/>
      <c r="AHL6" s="139"/>
      <c r="AHM6" s="139"/>
      <c r="AHN6" s="139"/>
      <c r="AHO6" s="139"/>
      <c r="AHP6" s="139"/>
      <c r="AHQ6" s="139"/>
      <c r="AHR6" s="139"/>
      <c r="AHS6" s="139"/>
      <c r="AHT6" s="139"/>
      <c r="AHU6" s="139"/>
      <c r="AHV6" s="139"/>
      <c r="AHW6" s="139"/>
      <c r="AHX6" s="139"/>
      <c r="AHY6" s="139"/>
      <c r="AHZ6" s="139"/>
      <c r="AIA6" s="139"/>
      <c r="AIB6" s="139"/>
      <c r="AIC6" s="139"/>
      <c r="AID6" s="139"/>
      <c r="AIE6" s="139"/>
      <c r="AIF6" s="139"/>
      <c r="AIG6" s="139"/>
      <c r="AIH6" s="139"/>
      <c r="AII6" s="139"/>
      <c r="AIJ6" s="139"/>
      <c r="AIK6" s="139"/>
      <c r="AIL6" s="139"/>
      <c r="AIM6" s="139"/>
      <c r="AIN6" s="139"/>
      <c r="AIO6" s="139"/>
      <c r="AIP6" s="139"/>
      <c r="AIQ6" s="139"/>
      <c r="AIR6" s="139"/>
      <c r="AIS6" s="139"/>
      <c r="AIT6" s="139"/>
      <c r="AIU6" s="139"/>
      <c r="AIV6" s="139"/>
      <c r="AIW6" s="139"/>
      <c r="AIX6" s="139"/>
      <c r="AIY6" s="139"/>
      <c r="AIZ6" s="139"/>
      <c r="AJA6" s="139"/>
      <c r="AJB6" s="139"/>
      <c r="AJC6" s="139"/>
      <c r="AJD6" s="139"/>
      <c r="AJE6" s="139"/>
      <c r="AJF6" s="139"/>
      <c r="AJG6" s="139"/>
      <c r="AJH6" s="139"/>
      <c r="AJI6" s="139"/>
      <c r="AJJ6" s="139"/>
      <c r="AJK6" s="139"/>
      <c r="AJL6" s="139"/>
      <c r="AJM6" s="139"/>
      <c r="AJN6" s="139"/>
      <c r="AJO6" s="139"/>
      <c r="AJP6" s="139"/>
      <c r="AJQ6" s="139"/>
      <c r="AJR6" s="139"/>
      <c r="AJS6" s="139"/>
      <c r="AJT6" s="139"/>
      <c r="AJU6" s="139"/>
      <c r="AJV6" s="139"/>
      <c r="AJW6" s="139"/>
      <c r="AJX6" s="139"/>
      <c r="AJY6" s="139"/>
      <c r="AJZ6" s="139"/>
      <c r="AKA6" s="139"/>
      <c r="AKB6" s="139"/>
      <c r="AKC6" s="139"/>
      <c r="AKD6" s="139"/>
      <c r="AKE6" s="139"/>
      <c r="AKF6" s="139"/>
      <c r="AKG6" s="139"/>
      <c r="AKH6" s="139"/>
      <c r="AKI6" s="139"/>
      <c r="AKJ6" s="139"/>
      <c r="AKK6" s="139"/>
      <c r="AKL6" s="139"/>
      <c r="AKM6" s="139"/>
      <c r="AKN6" s="139"/>
      <c r="AKO6" s="139"/>
      <c r="AKP6" s="139"/>
      <c r="AKQ6" s="139"/>
      <c r="AKR6" s="139"/>
      <c r="AKS6" s="139"/>
      <c r="AKT6" s="139"/>
      <c r="AKU6" s="139"/>
      <c r="AKV6" s="139"/>
      <c r="AKW6" s="139"/>
      <c r="AKX6" s="139"/>
      <c r="AKY6" s="139"/>
      <c r="AKZ6" s="139"/>
      <c r="ALA6" s="139"/>
      <c r="ALB6" s="139"/>
      <c r="ALC6" s="139"/>
      <c r="ALD6" s="139"/>
      <c r="ALE6" s="139"/>
      <c r="ALF6" s="139"/>
      <c r="ALG6" s="139"/>
      <c r="ALH6" s="139"/>
      <c r="ALI6" s="139"/>
      <c r="ALJ6" s="139"/>
      <c r="ALK6" s="139"/>
      <c r="ALL6" s="139"/>
      <c r="ALM6" s="139"/>
      <c r="ALN6" s="139"/>
      <c r="ALO6" s="139"/>
      <c r="ALP6" s="139"/>
      <c r="ALQ6" s="139"/>
      <c r="ALR6" s="139"/>
      <c r="ALS6" s="139"/>
      <c r="ALT6" s="139"/>
      <c r="ALU6" s="139"/>
      <c r="ALV6" s="139"/>
      <c r="ALW6" s="139"/>
      <c r="ALX6" s="139"/>
      <c r="ALY6" s="139"/>
      <c r="ALZ6" s="139"/>
      <c r="AMA6" s="139"/>
      <c r="AMB6" s="139"/>
      <c r="AMC6" s="139"/>
      <c r="AMD6" s="139"/>
      <c r="AME6" s="139"/>
    </row>
    <row r="7" spans="1:1024" s="140" customFormat="1" ht="60" x14ac:dyDescent="0.25">
      <c r="A7" s="146" t="s">
        <v>4</v>
      </c>
      <c r="B7" s="150" t="s">
        <v>5</v>
      </c>
      <c r="C7" s="79" t="s">
        <v>125</v>
      </c>
      <c r="D7" s="151" t="s">
        <v>121</v>
      </c>
      <c r="E7" s="151" t="s">
        <v>122</v>
      </c>
      <c r="F7" s="151" t="s">
        <v>123</v>
      </c>
      <c r="G7" s="151" t="s">
        <v>124</v>
      </c>
      <c r="H7" s="80" t="s">
        <v>85</v>
      </c>
      <c r="I7" s="80" t="s">
        <v>111</v>
      </c>
      <c r="J7" s="152" t="s">
        <v>94</v>
      </c>
      <c r="K7" s="14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39"/>
      <c r="HC7" s="139"/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39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39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39"/>
      <c r="MF7" s="139"/>
      <c r="MG7" s="139"/>
      <c r="MH7" s="139"/>
      <c r="MI7" s="139"/>
      <c r="MJ7" s="139"/>
      <c r="MK7" s="139"/>
      <c r="ML7" s="139"/>
      <c r="MM7" s="139"/>
      <c r="MN7" s="139"/>
      <c r="MO7" s="139"/>
      <c r="MP7" s="139"/>
      <c r="MQ7" s="139"/>
      <c r="MR7" s="139"/>
      <c r="MS7" s="139"/>
      <c r="MT7" s="139"/>
      <c r="MU7" s="139"/>
      <c r="MV7" s="139"/>
      <c r="MW7" s="139"/>
      <c r="MX7" s="139"/>
      <c r="MY7" s="139"/>
      <c r="MZ7" s="139"/>
      <c r="NA7" s="139"/>
      <c r="NB7" s="139"/>
      <c r="NC7" s="139"/>
      <c r="ND7" s="139"/>
      <c r="NE7" s="139"/>
      <c r="NF7" s="139"/>
      <c r="NG7" s="139"/>
      <c r="NH7" s="139"/>
      <c r="NI7" s="139"/>
      <c r="NJ7" s="139"/>
      <c r="NK7" s="139"/>
      <c r="NL7" s="139"/>
      <c r="NM7" s="139"/>
      <c r="NN7" s="139"/>
      <c r="NO7" s="139"/>
      <c r="NP7" s="139"/>
      <c r="NQ7" s="139"/>
      <c r="NR7" s="139"/>
      <c r="NS7" s="139"/>
      <c r="NT7" s="139"/>
      <c r="NU7" s="139"/>
      <c r="NV7" s="139"/>
      <c r="NW7" s="139"/>
      <c r="NX7" s="139"/>
      <c r="NY7" s="139"/>
      <c r="NZ7" s="139"/>
      <c r="OA7" s="139"/>
      <c r="OB7" s="139"/>
      <c r="OC7" s="139"/>
      <c r="OD7" s="139"/>
      <c r="OE7" s="139"/>
      <c r="OF7" s="139"/>
      <c r="OG7" s="139"/>
      <c r="OH7" s="139"/>
      <c r="OI7" s="139"/>
      <c r="OJ7" s="139"/>
      <c r="OK7" s="139"/>
      <c r="OL7" s="139"/>
      <c r="OM7" s="139"/>
      <c r="ON7" s="139"/>
      <c r="OO7" s="139"/>
      <c r="OP7" s="139"/>
      <c r="OQ7" s="139"/>
      <c r="OR7" s="139"/>
      <c r="OS7" s="139"/>
      <c r="OT7" s="139"/>
      <c r="OU7" s="139"/>
      <c r="OV7" s="139"/>
      <c r="OW7" s="139"/>
      <c r="OX7" s="139"/>
      <c r="OY7" s="139"/>
      <c r="OZ7" s="139"/>
      <c r="PA7" s="139"/>
      <c r="PB7" s="139"/>
      <c r="PC7" s="139"/>
      <c r="PD7" s="139"/>
      <c r="PE7" s="139"/>
      <c r="PF7" s="139"/>
      <c r="PG7" s="139"/>
      <c r="PH7" s="139"/>
      <c r="PI7" s="139"/>
      <c r="PJ7" s="139"/>
      <c r="PK7" s="139"/>
      <c r="PL7" s="139"/>
      <c r="PM7" s="139"/>
      <c r="PN7" s="139"/>
      <c r="PO7" s="139"/>
      <c r="PP7" s="139"/>
      <c r="PQ7" s="139"/>
      <c r="PR7" s="139"/>
      <c r="PS7" s="139"/>
      <c r="PT7" s="139"/>
      <c r="PU7" s="139"/>
      <c r="PV7" s="139"/>
      <c r="PW7" s="139"/>
      <c r="PX7" s="139"/>
      <c r="PY7" s="139"/>
      <c r="PZ7" s="139"/>
      <c r="QA7" s="139"/>
      <c r="QB7" s="139"/>
      <c r="QC7" s="139"/>
      <c r="QD7" s="139"/>
      <c r="QE7" s="139"/>
      <c r="QF7" s="139"/>
      <c r="QG7" s="139"/>
      <c r="QH7" s="139"/>
      <c r="QI7" s="139"/>
      <c r="QJ7" s="139"/>
      <c r="QK7" s="139"/>
      <c r="QL7" s="139"/>
      <c r="QM7" s="139"/>
      <c r="QN7" s="139"/>
      <c r="QO7" s="139"/>
      <c r="QP7" s="139"/>
      <c r="QQ7" s="139"/>
      <c r="QR7" s="139"/>
      <c r="QS7" s="139"/>
      <c r="QT7" s="139"/>
      <c r="QU7" s="139"/>
      <c r="QV7" s="139"/>
      <c r="QW7" s="139"/>
      <c r="QX7" s="139"/>
      <c r="QY7" s="139"/>
      <c r="QZ7" s="139"/>
      <c r="RA7" s="139"/>
      <c r="RB7" s="139"/>
      <c r="RC7" s="139"/>
      <c r="RD7" s="139"/>
      <c r="RE7" s="139"/>
      <c r="RF7" s="139"/>
      <c r="RG7" s="139"/>
      <c r="RH7" s="139"/>
      <c r="RI7" s="139"/>
      <c r="RJ7" s="139"/>
      <c r="RK7" s="139"/>
      <c r="RL7" s="139"/>
      <c r="RM7" s="139"/>
      <c r="RN7" s="139"/>
      <c r="RO7" s="139"/>
      <c r="RP7" s="139"/>
      <c r="RQ7" s="139"/>
      <c r="RR7" s="139"/>
      <c r="RS7" s="139"/>
      <c r="RT7" s="139"/>
      <c r="RU7" s="139"/>
      <c r="RV7" s="139"/>
      <c r="RW7" s="139"/>
      <c r="RX7" s="139"/>
      <c r="RY7" s="139"/>
      <c r="RZ7" s="139"/>
      <c r="SA7" s="139"/>
      <c r="SB7" s="139"/>
      <c r="SC7" s="139"/>
      <c r="SD7" s="139"/>
      <c r="SE7" s="139"/>
      <c r="SF7" s="139"/>
      <c r="SG7" s="139"/>
      <c r="SH7" s="139"/>
      <c r="SI7" s="139"/>
      <c r="SJ7" s="139"/>
      <c r="SK7" s="139"/>
      <c r="SL7" s="139"/>
      <c r="SM7" s="139"/>
      <c r="SN7" s="139"/>
      <c r="SO7" s="139"/>
      <c r="SP7" s="139"/>
      <c r="SQ7" s="139"/>
      <c r="SR7" s="139"/>
      <c r="SS7" s="139"/>
      <c r="ST7" s="139"/>
      <c r="SU7" s="139"/>
      <c r="SV7" s="139"/>
      <c r="SW7" s="139"/>
      <c r="SX7" s="139"/>
      <c r="SY7" s="139"/>
      <c r="SZ7" s="139"/>
      <c r="TA7" s="139"/>
      <c r="TB7" s="139"/>
      <c r="TC7" s="139"/>
      <c r="TD7" s="139"/>
      <c r="TE7" s="139"/>
      <c r="TF7" s="139"/>
      <c r="TG7" s="139"/>
      <c r="TH7" s="139"/>
      <c r="TI7" s="139"/>
      <c r="TJ7" s="139"/>
      <c r="TK7" s="139"/>
      <c r="TL7" s="139"/>
      <c r="TM7" s="139"/>
      <c r="TN7" s="139"/>
      <c r="TO7" s="139"/>
      <c r="TP7" s="139"/>
      <c r="TQ7" s="139"/>
      <c r="TR7" s="139"/>
      <c r="TS7" s="139"/>
      <c r="TT7" s="139"/>
      <c r="TU7" s="139"/>
      <c r="TV7" s="139"/>
      <c r="TW7" s="139"/>
      <c r="TX7" s="139"/>
      <c r="TY7" s="139"/>
      <c r="TZ7" s="139"/>
      <c r="UA7" s="139"/>
      <c r="UB7" s="139"/>
      <c r="UC7" s="139"/>
      <c r="UD7" s="139"/>
      <c r="UE7" s="139"/>
      <c r="UF7" s="139"/>
      <c r="UG7" s="139"/>
      <c r="UH7" s="139"/>
      <c r="UI7" s="139"/>
      <c r="UJ7" s="139"/>
      <c r="UK7" s="139"/>
      <c r="UL7" s="139"/>
      <c r="UM7" s="139"/>
      <c r="UN7" s="139"/>
      <c r="UO7" s="139"/>
      <c r="UP7" s="139"/>
      <c r="UQ7" s="139"/>
      <c r="UR7" s="139"/>
      <c r="US7" s="139"/>
      <c r="UT7" s="139"/>
      <c r="UU7" s="139"/>
      <c r="UV7" s="139"/>
      <c r="UW7" s="139"/>
      <c r="UX7" s="139"/>
      <c r="UY7" s="139"/>
      <c r="UZ7" s="139"/>
      <c r="VA7" s="139"/>
      <c r="VB7" s="139"/>
      <c r="VC7" s="139"/>
      <c r="VD7" s="139"/>
      <c r="VE7" s="139"/>
      <c r="VF7" s="139"/>
      <c r="VG7" s="139"/>
      <c r="VH7" s="139"/>
      <c r="VI7" s="139"/>
      <c r="VJ7" s="139"/>
      <c r="VK7" s="139"/>
      <c r="VL7" s="139"/>
      <c r="VM7" s="139"/>
      <c r="VN7" s="139"/>
      <c r="VO7" s="139"/>
      <c r="VP7" s="139"/>
      <c r="VQ7" s="139"/>
      <c r="VR7" s="139"/>
      <c r="VS7" s="139"/>
      <c r="VT7" s="139"/>
      <c r="VU7" s="139"/>
      <c r="VV7" s="139"/>
      <c r="VW7" s="139"/>
      <c r="VX7" s="139"/>
      <c r="VY7" s="139"/>
      <c r="VZ7" s="139"/>
      <c r="WA7" s="139"/>
      <c r="WB7" s="139"/>
      <c r="WC7" s="139"/>
      <c r="WD7" s="139"/>
      <c r="WE7" s="139"/>
      <c r="WF7" s="139"/>
      <c r="WG7" s="139"/>
      <c r="WH7" s="139"/>
      <c r="WI7" s="139"/>
      <c r="WJ7" s="139"/>
      <c r="WK7" s="139"/>
      <c r="WL7" s="139"/>
      <c r="WM7" s="139"/>
      <c r="WN7" s="139"/>
      <c r="WO7" s="139"/>
      <c r="WP7" s="139"/>
      <c r="WQ7" s="139"/>
      <c r="WR7" s="139"/>
      <c r="WS7" s="139"/>
      <c r="WT7" s="139"/>
      <c r="WU7" s="139"/>
      <c r="WV7" s="139"/>
      <c r="WW7" s="139"/>
      <c r="WX7" s="139"/>
      <c r="WY7" s="139"/>
      <c r="WZ7" s="139"/>
      <c r="XA7" s="139"/>
      <c r="XB7" s="139"/>
      <c r="XC7" s="139"/>
      <c r="XD7" s="139"/>
      <c r="XE7" s="139"/>
      <c r="XF7" s="139"/>
      <c r="XG7" s="139"/>
      <c r="XH7" s="139"/>
      <c r="XI7" s="139"/>
      <c r="XJ7" s="139"/>
      <c r="XK7" s="139"/>
      <c r="XL7" s="139"/>
      <c r="XM7" s="139"/>
      <c r="XN7" s="139"/>
      <c r="XO7" s="139"/>
      <c r="XP7" s="139"/>
      <c r="XQ7" s="139"/>
      <c r="XR7" s="139"/>
      <c r="XS7" s="139"/>
      <c r="XT7" s="139"/>
      <c r="XU7" s="139"/>
      <c r="XV7" s="139"/>
      <c r="XW7" s="139"/>
      <c r="XX7" s="139"/>
      <c r="XY7" s="139"/>
      <c r="XZ7" s="139"/>
      <c r="YA7" s="139"/>
      <c r="YB7" s="139"/>
      <c r="YC7" s="139"/>
      <c r="YD7" s="139"/>
      <c r="YE7" s="139"/>
      <c r="YF7" s="139"/>
      <c r="YG7" s="139"/>
      <c r="YH7" s="139"/>
      <c r="YI7" s="139"/>
      <c r="YJ7" s="139"/>
      <c r="YK7" s="139"/>
      <c r="YL7" s="139"/>
      <c r="YM7" s="139"/>
      <c r="YN7" s="139"/>
      <c r="YO7" s="139"/>
      <c r="YP7" s="139"/>
      <c r="YQ7" s="139"/>
      <c r="YR7" s="139"/>
      <c r="YS7" s="139"/>
      <c r="YT7" s="139"/>
      <c r="YU7" s="139"/>
      <c r="YV7" s="139"/>
      <c r="YW7" s="139"/>
      <c r="YX7" s="139"/>
      <c r="YY7" s="139"/>
      <c r="YZ7" s="139"/>
      <c r="ZA7" s="139"/>
      <c r="ZB7" s="139"/>
      <c r="ZC7" s="139"/>
      <c r="ZD7" s="139"/>
      <c r="ZE7" s="139"/>
      <c r="ZF7" s="139"/>
      <c r="ZG7" s="139"/>
      <c r="ZH7" s="139"/>
      <c r="ZI7" s="139"/>
      <c r="ZJ7" s="139"/>
      <c r="ZK7" s="139"/>
      <c r="ZL7" s="139"/>
      <c r="ZM7" s="139"/>
      <c r="ZN7" s="139"/>
      <c r="ZO7" s="139"/>
      <c r="ZP7" s="139"/>
      <c r="ZQ7" s="139"/>
      <c r="ZR7" s="139"/>
      <c r="ZS7" s="139"/>
      <c r="ZT7" s="139"/>
      <c r="ZU7" s="139"/>
      <c r="ZV7" s="139"/>
      <c r="ZW7" s="139"/>
      <c r="ZX7" s="139"/>
      <c r="ZY7" s="139"/>
      <c r="ZZ7" s="139"/>
      <c r="AAA7" s="139"/>
      <c r="AAB7" s="139"/>
      <c r="AAC7" s="139"/>
      <c r="AAD7" s="139"/>
      <c r="AAE7" s="139"/>
      <c r="AAF7" s="139"/>
      <c r="AAG7" s="139"/>
      <c r="AAH7" s="139"/>
      <c r="AAI7" s="139"/>
      <c r="AAJ7" s="139"/>
      <c r="AAK7" s="139"/>
      <c r="AAL7" s="139"/>
      <c r="AAM7" s="139"/>
      <c r="AAN7" s="139"/>
      <c r="AAO7" s="139"/>
      <c r="AAP7" s="139"/>
      <c r="AAQ7" s="139"/>
      <c r="AAR7" s="139"/>
      <c r="AAS7" s="139"/>
      <c r="AAT7" s="139"/>
      <c r="AAU7" s="139"/>
      <c r="AAV7" s="139"/>
      <c r="AAW7" s="139"/>
      <c r="AAX7" s="139"/>
      <c r="AAY7" s="139"/>
      <c r="AAZ7" s="139"/>
      <c r="ABA7" s="139"/>
      <c r="ABB7" s="139"/>
      <c r="ABC7" s="139"/>
      <c r="ABD7" s="139"/>
      <c r="ABE7" s="139"/>
      <c r="ABF7" s="139"/>
      <c r="ABG7" s="139"/>
      <c r="ABH7" s="139"/>
      <c r="ABI7" s="139"/>
      <c r="ABJ7" s="139"/>
      <c r="ABK7" s="139"/>
      <c r="ABL7" s="139"/>
      <c r="ABM7" s="139"/>
      <c r="ABN7" s="139"/>
      <c r="ABO7" s="139"/>
      <c r="ABP7" s="139"/>
      <c r="ABQ7" s="139"/>
      <c r="ABR7" s="139"/>
      <c r="ABS7" s="139"/>
      <c r="ABT7" s="139"/>
      <c r="ABU7" s="139"/>
      <c r="ABV7" s="139"/>
      <c r="ABW7" s="139"/>
      <c r="ABX7" s="139"/>
      <c r="ABY7" s="139"/>
      <c r="ABZ7" s="139"/>
      <c r="ACA7" s="139"/>
      <c r="ACB7" s="139"/>
      <c r="ACC7" s="139"/>
      <c r="ACD7" s="139"/>
      <c r="ACE7" s="139"/>
      <c r="ACF7" s="139"/>
      <c r="ACG7" s="139"/>
      <c r="ACH7" s="139"/>
      <c r="ACI7" s="139"/>
      <c r="ACJ7" s="139"/>
      <c r="ACK7" s="139"/>
      <c r="ACL7" s="139"/>
      <c r="ACM7" s="139"/>
      <c r="ACN7" s="139"/>
      <c r="ACO7" s="139"/>
      <c r="ACP7" s="139"/>
      <c r="ACQ7" s="139"/>
      <c r="ACR7" s="139"/>
      <c r="ACS7" s="139"/>
      <c r="ACT7" s="139"/>
      <c r="ACU7" s="139"/>
      <c r="ACV7" s="139"/>
      <c r="ACW7" s="139"/>
      <c r="ACX7" s="139"/>
      <c r="ACY7" s="139"/>
      <c r="ACZ7" s="139"/>
      <c r="ADA7" s="139"/>
      <c r="ADB7" s="139"/>
      <c r="ADC7" s="139"/>
      <c r="ADD7" s="139"/>
      <c r="ADE7" s="139"/>
      <c r="ADF7" s="139"/>
      <c r="ADG7" s="139"/>
      <c r="ADH7" s="139"/>
      <c r="ADI7" s="139"/>
      <c r="ADJ7" s="139"/>
      <c r="ADK7" s="139"/>
      <c r="ADL7" s="139"/>
      <c r="ADM7" s="139"/>
      <c r="ADN7" s="139"/>
      <c r="ADO7" s="139"/>
      <c r="ADP7" s="139"/>
      <c r="ADQ7" s="139"/>
      <c r="ADR7" s="139"/>
      <c r="ADS7" s="139"/>
      <c r="ADT7" s="139"/>
      <c r="ADU7" s="139"/>
      <c r="ADV7" s="139"/>
      <c r="ADW7" s="139"/>
      <c r="ADX7" s="139"/>
      <c r="ADY7" s="139"/>
      <c r="ADZ7" s="139"/>
      <c r="AEA7" s="139"/>
      <c r="AEB7" s="139"/>
      <c r="AEC7" s="139"/>
      <c r="AED7" s="139"/>
      <c r="AEE7" s="139"/>
      <c r="AEF7" s="139"/>
      <c r="AEG7" s="139"/>
      <c r="AEH7" s="139"/>
      <c r="AEI7" s="139"/>
      <c r="AEJ7" s="139"/>
      <c r="AEK7" s="139"/>
      <c r="AEL7" s="139"/>
      <c r="AEM7" s="139"/>
      <c r="AEN7" s="139"/>
      <c r="AEO7" s="139"/>
      <c r="AEP7" s="139"/>
      <c r="AEQ7" s="139"/>
      <c r="AER7" s="139"/>
      <c r="AES7" s="139"/>
      <c r="AET7" s="139"/>
      <c r="AEU7" s="139"/>
      <c r="AEV7" s="139"/>
      <c r="AEW7" s="139"/>
      <c r="AEX7" s="139"/>
      <c r="AEY7" s="139"/>
      <c r="AEZ7" s="139"/>
      <c r="AFA7" s="139"/>
      <c r="AFB7" s="139"/>
      <c r="AFC7" s="139"/>
      <c r="AFD7" s="139"/>
      <c r="AFE7" s="139"/>
      <c r="AFF7" s="139"/>
      <c r="AFG7" s="139"/>
      <c r="AFH7" s="139"/>
      <c r="AFI7" s="139"/>
      <c r="AFJ7" s="139"/>
      <c r="AFK7" s="139"/>
      <c r="AFL7" s="139"/>
      <c r="AFM7" s="139"/>
      <c r="AFN7" s="139"/>
      <c r="AFO7" s="139"/>
      <c r="AFP7" s="139"/>
      <c r="AFQ7" s="139"/>
      <c r="AFR7" s="139"/>
      <c r="AFS7" s="139"/>
      <c r="AFT7" s="139"/>
      <c r="AFU7" s="139"/>
      <c r="AFV7" s="139"/>
      <c r="AFW7" s="139"/>
      <c r="AFX7" s="139"/>
      <c r="AFY7" s="139"/>
      <c r="AFZ7" s="139"/>
      <c r="AGA7" s="139"/>
      <c r="AGB7" s="139"/>
      <c r="AGC7" s="139"/>
      <c r="AGD7" s="139"/>
      <c r="AGE7" s="139"/>
      <c r="AGF7" s="139"/>
      <c r="AGG7" s="139"/>
      <c r="AGH7" s="139"/>
      <c r="AGI7" s="139"/>
      <c r="AGJ7" s="139"/>
      <c r="AGK7" s="139"/>
      <c r="AGL7" s="139"/>
      <c r="AGM7" s="139"/>
      <c r="AGN7" s="139"/>
      <c r="AGO7" s="139"/>
      <c r="AGP7" s="139"/>
      <c r="AGQ7" s="139"/>
      <c r="AGR7" s="139"/>
      <c r="AGS7" s="139"/>
      <c r="AGT7" s="139"/>
      <c r="AGU7" s="139"/>
      <c r="AGV7" s="139"/>
      <c r="AGW7" s="139"/>
      <c r="AGX7" s="139"/>
      <c r="AGY7" s="139"/>
      <c r="AGZ7" s="139"/>
      <c r="AHA7" s="139"/>
      <c r="AHB7" s="139"/>
      <c r="AHC7" s="139"/>
      <c r="AHD7" s="139"/>
      <c r="AHE7" s="139"/>
      <c r="AHF7" s="139"/>
      <c r="AHG7" s="139"/>
      <c r="AHH7" s="139"/>
      <c r="AHI7" s="139"/>
      <c r="AHJ7" s="139"/>
      <c r="AHK7" s="139"/>
      <c r="AHL7" s="139"/>
      <c r="AHM7" s="139"/>
      <c r="AHN7" s="139"/>
      <c r="AHO7" s="139"/>
      <c r="AHP7" s="139"/>
      <c r="AHQ7" s="139"/>
      <c r="AHR7" s="139"/>
      <c r="AHS7" s="139"/>
      <c r="AHT7" s="139"/>
      <c r="AHU7" s="139"/>
      <c r="AHV7" s="139"/>
      <c r="AHW7" s="139"/>
      <c r="AHX7" s="139"/>
      <c r="AHY7" s="139"/>
      <c r="AHZ7" s="139"/>
      <c r="AIA7" s="139"/>
      <c r="AIB7" s="139"/>
      <c r="AIC7" s="139"/>
      <c r="AID7" s="139"/>
      <c r="AIE7" s="139"/>
      <c r="AIF7" s="139"/>
      <c r="AIG7" s="139"/>
      <c r="AIH7" s="139"/>
      <c r="AII7" s="139"/>
      <c r="AIJ7" s="139"/>
      <c r="AIK7" s="139"/>
      <c r="AIL7" s="139"/>
      <c r="AIM7" s="139"/>
      <c r="AIN7" s="139"/>
      <c r="AIO7" s="139"/>
      <c r="AIP7" s="139"/>
      <c r="AIQ7" s="139"/>
      <c r="AIR7" s="139"/>
      <c r="AIS7" s="139"/>
      <c r="AIT7" s="139"/>
      <c r="AIU7" s="139"/>
      <c r="AIV7" s="139"/>
      <c r="AIW7" s="139"/>
      <c r="AIX7" s="139"/>
      <c r="AIY7" s="139"/>
      <c r="AIZ7" s="139"/>
      <c r="AJA7" s="139"/>
      <c r="AJB7" s="139"/>
      <c r="AJC7" s="139"/>
      <c r="AJD7" s="139"/>
      <c r="AJE7" s="139"/>
      <c r="AJF7" s="139"/>
      <c r="AJG7" s="139"/>
      <c r="AJH7" s="139"/>
      <c r="AJI7" s="139"/>
      <c r="AJJ7" s="139"/>
      <c r="AJK7" s="139"/>
      <c r="AJL7" s="139"/>
      <c r="AJM7" s="139"/>
      <c r="AJN7" s="139"/>
      <c r="AJO7" s="139"/>
      <c r="AJP7" s="139"/>
      <c r="AJQ7" s="139"/>
      <c r="AJR7" s="139"/>
      <c r="AJS7" s="139"/>
      <c r="AJT7" s="139"/>
      <c r="AJU7" s="139"/>
      <c r="AJV7" s="139"/>
      <c r="AJW7" s="139"/>
      <c r="AJX7" s="139"/>
      <c r="AJY7" s="139"/>
      <c r="AJZ7" s="139"/>
      <c r="AKA7" s="139"/>
      <c r="AKB7" s="139"/>
      <c r="AKC7" s="139"/>
      <c r="AKD7" s="139"/>
      <c r="AKE7" s="139"/>
      <c r="AKF7" s="139"/>
      <c r="AKG7" s="139"/>
      <c r="AKH7" s="139"/>
      <c r="AKI7" s="139"/>
      <c r="AKJ7" s="139"/>
      <c r="AKK7" s="139"/>
      <c r="AKL7" s="139"/>
      <c r="AKM7" s="139"/>
      <c r="AKN7" s="139"/>
      <c r="AKO7" s="139"/>
      <c r="AKP7" s="139"/>
      <c r="AKQ7" s="139"/>
      <c r="AKR7" s="139"/>
      <c r="AKS7" s="139"/>
      <c r="AKT7" s="139"/>
      <c r="AKU7" s="139"/>
      <c r="AKV7" s="139"/>
      <c r="AKW7" s="139"/>
      <c r="AKX7" s="139"/>
      <c r="AKY7" s="139"/>
      <c r="AKZ7" s="139"/>
      <c r="ALA7" s="139"/>
      <c r="ALB7" s="139"/>
      <c r="ALC7" s="139"/>
      <c r="ALD7" s="139"/>
      <c r="ALE7" s="139"/>
      <c r="ALF7" s="139"/>
      <c r="ALG7" s="139"/>
      <c r="ALH7" s="139"/>
      <c r="ALI7" s="139"/>
      <c r="ALJ7" s="139"/>
      <c r="ALK7" s="139"/>
      <c r="ALL7" s="139"/>
      <c r="ALM7" s="139"/>
      <c r="ALN7" s="139"/>
      <c r="ALO7" s="139"/>
      <c r="ALP7" s="139"/>
      <c r="ALQ7" s="139"/>
      <c r="ALR7" s="139"/>
      <c r="ALS7" s="139"/>
      <c r="ALT7" s="139"/>
      <c r="ALU7" s="139"/>
      <c r="ALV7" s="139"/>
      <c r="ALW7" s="139"/>
      <c r="ALX7" s="139"/>
      <c r="ALY7" s="139"/>
      <c r="ALZ7" s="139"/>
      <c r="AMA7" s="139"/>
      <c r="AMB7" s="139"/>
      <c r="AMC7" s="139"/>
      <c r="AMD7" s="139"/>
      <c r="AME7" s="139"/>
    </row>
    <row r="8" spans="1:1024" s="140" customFormat="1" x14ac:dyDescent="0.25">
      <c r="A8" s="146" t="s">
        <v>6</v>
      </c>
      <c r="B8" s="84" t="str">
        <f t="shared" ref="B8:C8" si="1">MID($B5,B6,B13)</f>
        <v>00000</v>
      </c>
      <c r="C8" s="84" t="str">
        <f t="shared" si="1"/>
        <v>000</v>
      </c>
      <c r="D8" s="84" t="str">
        <f t="shared" ref="D8:J8" si="2">MID($B5,D6,D13)</f>
        <v>11010000100</v>
      </c>
      <c r="E8" s="84" t="str">
        <f t="shared" si="2"/>
        <v>110001100</v>
      </c>
      <c r="F8" s="84" t="str">
        <f t="shared" si="2"/>
        <v>101110010001010</v>
      </c>
      <c r="G8" s="84" t="str">
        <f t="shared" si="2"/>
        <v>0000001000</v>
      </c>
      <c r="H8" s="84" t="str">
        <f t="shared" si="2"/>
        <v>000000000001</v>
      </c>
      <c r="I8" s="84" t="str">
        <f t="shared" si="2"/>
        <v>0000011011</v>
      </c>
      <c r="J8" s="84" t="str">
        <f t="shared" si="2"/>
        <v>0000</v>
      </c>
      <c r="K8" s="14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  <c r="GF8" s="139"/>
      <c r="GG8" s="139"/>
      <c r="GH8" s="139"/>
      <c r="GI8" s="139"/>
      <c r="GJ8" s="139"/>
      <c r="GK8" s="139"/>
      <c r="GL8" s="139"/>
      <c r="GM8" s="139"/>
      <c r="GN8" s="139"/>
      <c r="GO8" s="139"/>
      <c r="GP8" s="139"/>
      <c r="GQ8" s="139"/>
      <c r="GR8" s="139"/>
      <c r="GS8" s="139"/>
      <c r="GT8" s="139"/>
      <c r="GU8" s="139"/>
      <c r="GV8" s="139"/>
      <c r="GW8" s="139"/>
      <c r="GX8" s="139"/>
      <c r="GY8" s="139"/>
      <c r="GZ8" s="139"/>
      <c r="HA8" s="139"/>
      <c r="HB8" s="139"/>
      <c r="HC8" s="139"/>
      <c r="HD8" s="139"/>
      <c r="HE8" s="139"/>
      <c r="HF8" s="139"/>
      <c r="HG8" s="139"/>
      <c r="HH8" s="139"/>
      <c r="HI8" s="139"/>
      <c r="HJ8" s="139"/>
      <c r="HK8" s="139"/>
      <c r="HL8" s="139"/>
      <c r="HM8" s="139"/>
      <c r="HN8" s="139"/>
      <c r="HO8" s="139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39"/>
      <c r="IW8" s="139"/>
      <c r="IX8" s="139"/>
      <c r="IY8" s="139"/>
      <c r="IZ8" s="139"/>
      <c r="JA8" s="139"/>
      <c r="JB8" s="139"/>
      <c r="JC8" s="139"/>
      <c r="JD8" s="139"/>
      <c r="JE8" s="139"/>
      <c r="JF8" s="139"/>
      <c r="JG8" s="139"/>
      <c r="JH8" s="139"/>
      <c r="JI8" s="139"/>
      <c r="JJ8" s="139"/>
      <c r="JK8" s="139"/>
      <c r="JL8" s="139"/>
      <c r="JM8" s="139"/>
      <c r="JN8" s="139"/>
      <c r="JO8" s="139"/>
      <c r="JP8" s="139"/>
      <c r="JQ8" s="139"/>
      <c r="JR8" s="139"/>
      <c r="JS8" s="139"/>
      <c r="JT8" s="139"/>
      <c r="JU8" s="139"/>
      <c r="JV8" s="139"/>
      <c r="JW8" s="139"/>
      <c r="JX8" s="139"/>
      <c r="JY8" s="139"/>
      <c r="JZ8" s="139"/>
      <c r="KA8" s="139"/>
      <c r="KB8" s="139"/>
      <c r="KC8" s="139"/>
      <c r="KD8" s="139"/>
      <c r="KE8" s="139"/>
      <c r="KF8" s="139"/>
      <c r="KG8" s="139"/>
      <c r="KH8" s="139"/>
      <c r="KI8" s="139"/>
      <c r="KJ8" s="139"/>
      <c r="KK8" s="139"/>
      <c r="KL8" s="139"/>
      <c r="KM8" s="139"/>
      <c r="KN8" s="139"/>
      <c r="KO8" s="139"/>
      <c r="KP8" s="139"/>
      <c r="KQ8" s="139"/>
      <c r="KR8" s="139"/>
      <c r="KS8" s="139"/>
      <c r="KT8" s="139"/>
      <c r="KU8" s="139"/>
      <c r="KV8" s="139"/>
      <c r="KW8" s="139"/>
      <c r="KX8" s="139"/>
      <c r="KY8" s="139"/>
      <c r="KZ8" s="139"/>
      <c r="LA8" s="139"/>
      <c r="LB8" s="139"/>
      <c r="LC8" s="139"/>
      <c r="LD8" s="139"/>
      <c r="LE8" s="139"/>
      <c r="LF8" s="139"/>
      <c r="LG8" s="139"/>
      <c r="LH8" s="139"/>
      <c r="LI8" s="139"/>
      <c r="LJ8" s="139"/>
      <c r="LK8" s="139"/>
      <c r="LL8" s="139"/>
      <c r="LM8" s="139"/>
      <c r="LN8" s="139"/>
      <c r="LO8" s="139"/>
      <c r="LP8" s="139"/>
      <c r="LQ8" s="139"/>
      <c r="LR8" s="139"/>
      <c r="LS8" s="139"/>
      <c r="LT8" s="139"/>
      <c r="LU8" s="139"/>
      <c r="LV8" s="139"/>
      <c r="LW8" s="139"/>
      <c r="LX8" s="139"/>
      <c r="LY8" s="139"/>
      <c r="LZ8" s="139"/>
      <c r="MA8" s="139"/>
      <c r="MB8" s="139"/>
      <c r="MC8" s="139"/>
      <c r="MD8" s="139"/>
      <c r="ME8" s="139"/>
      <c r="MF8" s="139"/>
      <c r="MG8" s="139"/>
      <c r="MH8" s="139"/>
      <c r="MI8" s="139"/>
      <c r="MJ8" s="139"/>
      <c r="MK8" s="139"/>
      <c r="ML8" s="139"/>
      <c r="MM8" s="139"/>
      <c r="MN8" s="139"/>
      <c r="MO8" s="139"/>
      <c r="MP8" s="139"/>
      <c r="MQ8" s="139"/>
      <c r="MR8" s="139"/>
      <c r="MS8" s="139"/>
      <c r="MT8" s="139"/>
      <c r="MU8" s="139"/>
      <c r="MV8" s="139"/>
      <c r="MW8" s="139"/>
      <c r="MX8" s="139"/>
      <c r="MY8" s="139"/>
      <c r="MZ8" s="139"/>
      <c r="NA8" s="139"/>
      <c r="NB8" s="139"/>
      <c r="NC8" s="139"/>
      <c r="ND8" s="139"/>
      <c r="NE8" s="139"/>
      <c r="NF8" s="139"/>
      <c r="NG8" s="139"/>
      <c r="NH8" s="139"/>
      <c r="NI8" s="139"/>
      <c r="NJ8" s="139"/>
      <c r="NK8" s="139"/>
      <c r="NL8" s="139"/>
      <c r="NM8" s="139"/>
      <c r="NN8" s="139"/>
      <c r="NO8" s="139"/>
      <c r="NP8" s="139"/>
      <c r="NQ8" s="139"/>
      <c r="NR8" s="139"/>
      <c r="NS8" s="139"/>
      <c r="NT8" s="139"/>
      <c r="NU8" s="139"/>
      <c r="NV8" s="139"/>
      <c r="NW8" s="139"/>
      <c r="NX8" s="139"/>
      <c r="NY8" s="139"/>
      <c r="NZ8" s="139"/>
      <c r="OA8" s="139"/>
      <c r="OB8" s="139"/>
      <c r="OC8" s="139"/>
      <c r="OD8" s="139"/>
      <c r="OE8" s="139"/>
      <c r="OF8" s="139"/>
      <c r="OG8" s="139"/>
      <c r="OH8" s="139"/>
      <c r="OI8" s="139"/>
      <c r="OJ8" s="139"/>
      <c r="OK8" s="139"/>
      <c r="OL8" s="139"/>
      <c r="OM8" s="139"/>
      <c r="ON8" s="139"/>
      <c r="OO8" s="139"/>
      <c r="OP8" s="139"/>
      <c r="OQ8" s="139"/>
      <c r="OR8" s="139"/>
      <c r="OS8" s="139"/>
      <c r="OT8" s="139"/>
      <c r="OU8" s="139"/>
      <c r="OV8" s="139"/>
      <c r="OW8" s="139"/>
      <c r="OX8" s="139"/>
      <c r="OY8" s="139"/>
      <c r="OZ8" s="139"/>
      <c r="PA8" s="139"/>
      <c r="PB8" s="139"/>
      <c r="PC8" s="139"/>
      <c r="PD8" s="139"/>
      <c r="PE8" s="139"/>
      <c r="PF8" s="139"/>
      <c r="PG8" s="139"/>
      <c r="PH8" s="139"/>
      <c r="PI8" s="139"/>
      <c r="PJ8" s="139"/>
      <c r="PK8" s="139"/>
      <c r="PL8" s="139"/>
      <c r="PM8" s="139"/>
      <c r="PN8" s="139"/>
      <c r="PO8" s="139"/>
      <c r="PP8" s="139"/>
      <c r="PQ8" s="139"/>
      <c r="PR8" s="139"/>
      <c r="PS8" s="139"/>
      <c r="PT8" s="139"/>
      <c r="PU8" s="139"/>
      <c r="PV8" s="139"/>
      <c r="PW8" s="139"/>
      <c r="PX8" s="139"/>
      <c r="PY8" s="139"/>
      <c r="PZ8" s="139"/>
      <c r="QA8" s="139"/>
      <c r="QB8" s="139"/>
      <c r="QC8" s="139"/>
      <c r="QD8" s="139"/>
      <c r="QE8" s="139"/>
      <c r="QF8" s="139"/>
      <c r="QG8" s="139"/>
      <c r="QH8" s="139"/>
      <c r="QI8" s="139"/>
      <c r="QJ8" s="139"/>
      <c r="QK8" s="139"/>
      <c r="QL8" s="139"/>
      <c r="QM8" s="139"/>
      <c r="QN8" s="139"/>
      <c r="QO8" s="139"/>
      <c r="QP8" s="139"/>
      <c r="QQ8" s="139"/>
      <c r="QR8" s="139"/>
      <c r="QS8" s="139"/>
      <c r="QT8" s="139"/>
      <c r="QU8" s="139"/>
      <c r="QV8" s="139"/>
      <c r="QW8" s="139"/>
      <c r="QX8" s="139"/>
      <c r="QY8" s="139"/>
      <c r="QZ8" s="139"/>
      <c r="RA8" s="139"/>
      <c r="RB8" s="139"/>
      <c r="RC8" s="139"/>
      <c r="RD8" s="139"/>
      <c r="RE8" s="139"/>
      <c r="RF8" s="139"/>
      <c r="RG8" s="139"/>
      <c r="RH8" s="139"/>
      <c r="RI8" s="139"/>
      <c r="RJ8" s="139"/>
      <c r="RK8" s="139"/>
      <c r="RL8" s="139"/>
      <c r="RM8" s="139"/>
      <c r="RN8" s="139"/>
      <c r="RO8" s="139"/>
      <c r="RP8" s="139"/>
      <c r="RQ8" s="139"/>
      <c r="RR8" s="139"/>
      <c r="RS8" s="139"/>
      <c r="RT8" s="139"/>
      <c r="RU8" s="139"/>
      <c r="RV8" s="139"/>
      <c r="RW8" s="139"/>
      <c r="RX8" s="139"/>
      <c r="RY8" s="139"/>
      <c r="RZ8" s="139"/>
      <c r="SA8" s="139"/>
      <c r="SB8" s="139"/>
      <c r="SC8" s="139"/>
      <c r="SD8" s="139"/>
      <c r="SE8" s="139"/>
      <c r="SF8" s="139"/>
      <c r="SG8" s="139"/>
      <c r="SH8" s="139"/>
      <c r="SI8" s="139"/>
      <c r="SJ8" s="139"/>
      <c r="SK8" s="139"/>
      <c r="SL8" s="139"/>
      <c r="SM8" s="139"/>
      <c r="SN8" s="139"/>
      <c r="SO8" s="139"/>
      <c r="SP8" s="139"/>
      <c r="SQ8" s="139"/>
      <c r="SR8" s="139"/>
      <c r="SS8" s="139"/>
      <c r="ST8" s="139"/>
      <c r="SU8" s="139"/>
      <c r="SV8" s="139"/>
      <c r="SW8" s="139"/>
      <c r="SX8" s="139"/>
      <c r="SY8" s="139"/>
      <c r="SZ8" s="139"/>
      <c r="TA8" s="139"/>
      <c r="TB8" s="139"/>
      <c r="TC8" s="139"/>
      <c r="TD8" s="139"/>
      <c r="TE8" s="139"/>
      <c r="TF8" s="139"/>
      <c r="TG8" s="139"/>
      <c r="TH8" s="139"/>
      <c r="TI8" s="139"/>
      <c r="TJ8" s="139"/>
      <c r="TK8" s="139"/>
      <c r="TL8" s="139"/>
      <c r="TM8" s="139"/>
      <c r="TN8" s="139"/>
      <c r="TO8" s="139"/>
      <c r="TP8" s="139"/>
      <c r="TQ8" s="139"/>
      <c r="TR8" s="139"/>
      <c r="TS8" s="139"/>
      <c r="TT8" s="139"/>
      <c r="TU8" s="139"/>
      <c r="TV8" s="139"/>
      <c r="TW8" s="139"/>
      <c r="TX8" s="139"/>
      <c r="TY8" s="139"/>
      <c r="TZ8" s="139"/>
      <c r="UA8" s="139"/>
      <c r="UB8" s="139"/>
      <c r="UC8" s="139"/>
      <c r="UD8" s="139"/>
      <c r="UE8" s="139"/>
      <c r="UF8" s="139"/>
      <c r="UG8" s="139"/>
      <c r="UH8" s="139"/>
      <c r="UI8" s="139"/>
      <c r="UJ8" s="139"/>
      <c r="UK8" s="139"/>
      <c r="UL8" s="139"/>
      <c r="UM8" s="139"/>
      <c r="UN8" s="139"/>
      <c r="UO8" s="139"/>
      <c r="UP8" s="139"/>
      <c r="UQ8" s="139"/>
      <c r="UR8" s="139"/>
      <c r="US8" s="139"/>
      <c r="UT8" s="139"/>
      <c r="UU8" s="139"/>
      <c r="UV8" s="139"/>
      <c r="UW8" s="139"/>
      <c r="UX8" s="139"/>
      <c r="UY8" s="139"/>
      <c r="UZ8" s="139"/>
      <c r="VA8" s="139"/>
      <c r="VB8" s="139"/>
      <c r="VC8" s="139"/>
      <c r="VD8" s="139"/>
      <c r="VE8" s="139"/>
      <c r="VF8" s="139"/>
      <c r="VG8" s="139"/>
      <c r="VH8" s="139"/>
      <c r="VI8" s="139"/>
      <c r="VJ8" s="139"/>
      <c r="VK8" s="139"/>
      <c r="VL8" s="139"/>
      <c r="VM8" s="139"/>
      <c r="VN8" s="139"/>
      <c r="VO8" s="139"/>
      <c r="VP8" s="139"/>
      <c r="VQ8" s="139"/>
      <c r="VR8" s="139"/>
      <c r="VS8" s="139"/>
      <c r="VT8" s="139"/>
      <c r="VU8" s="139"/>
      <c r="VV8" s="139"/>
      <c r="VW8" s="139"/>
      <c r="VX8" s="139"/>
      <c r="VY8" s="139"/>
      <c r="VZ8" s="139"/>
      <c r="WA8" s="139"/>
      <c r="WB8" s="139"/>
      <c r="WC8" s="139"/>
      <c r="WD8" s="139"/>
      <c r="WE8" s="139"/>
      <c r="WF8" s="139"/>
      <c r="WG8" s="139"/>
      <c r="WH8" s="139"/>
      <c r="WI8" s="139"/>
      <c r="WJ8" s="139"/>
      <c r="WK8" s="139"/>
      <c r="WL8" s="139"/>
      <c r="WM8" s="139"/>
      <c r="WN8" s="139"/>
      <c r="WO8" s="139"/>
      <c r="WP8" s="139"/>
      <c r="WQ8" s="139"/>
      <c r="WR8" s="139"/>
      <c r="WS8" s="139"/>
      <c r="WT8" s="139"/>
      <c r="WU8" s="139"/>
      <c r="WV8" s="139"/>
      <c r="WW8" s="139"/>
      <c r="WX8" s="139"/>
      <c r="WY8" s="139"/>
      <c r="WZ8" s="139"/>
      <c r="XA8" s="139"/>
      <c r="XB8" s="139"/>
      <c r="XC8" s="139"/>
      <c r="XD8" s="139"/>
      <c r="XE8" s="139"/>
      <c r="XF8" s="139"/>
      <c r="XG8" s="139"/>
      <c r="XH8" s="139"/>
      <c r="XI8" s="139"/>
      <c r="XJ8" s="139"/>
      <c r="XK8" s="139"/>
      <c r="XL8" s="139"/>
      <c r="XM8" s="139"/>
      <c r="XN8" s="139"/>
      <c r="XO8" s="139"/>
      <c r="XP8" s="139"/>
      <c r="XQ8" s="139"/>
      <c r="XR8" s="139"/>
      <c r="XS8" s="139"/>
      <c r="XT8" s="139"/>
      <c r="XU8" s="139"/>
      <c r="XV8" s="139"/>
      <c r="XW8" s="139"/>
      <c r="XX8" s="139"/>
      <c r="XY8" s="139"/>
      <c r="XZ8" s="139"/>
      <c r="YA8" s="139"/>
      <c r="YB8" s="139"/>
      <c r="YC8" s="139"/>
      <c r="YD8" s="139"/>
      <c r="YE8" s="139"/>
      <c r="YF8" s="139"/>
      <c r="YG8" s="139"/>
      <c r="YH8" s="139"/>
      <c r="YI8" s="139"/>
      <c r="YJ8" s="139"/>
      <c r="YK8" s="139"/>
      <c r="YL8" s="139"/>
      <c r="YM8" s="139"/>
      <c r="YN8" s="139"/>
      <c r="YO8" s="139"/>
      <c r="YP8" s="139"/>
      <c r="YQ8" s="139"/>
      <c r="YR8" s="139"/>
      <c r="YS8" s="139"/>
      <c r="YT8" s="139"/>
      <c r="YU8" s="139"/>
      <c r="YV8" s="139"/>
      <c r="YW8" s="139"/>
      <c r="YX8" s="139"/>
      <c r="YY8" s="139"/>
      <c r="YZ8" s="139"/>
      <c r="ZA8" s="139"/>
      <c r="ZB8" s="139"/>
      <c r="ZC8" s="139"/>
      <c r="ZD8" s="139"/>
      <c r="ZE8" s="139"/>
      <c r="ZF8" s="139"/>
      <c r="ZG8" s="139"/>
      <c r="ZH8" s="139"/>
      <c r="ZI8" s="139"/>
      <c r="ZJ8" s="139"/>
      <c r="ZK8" s="139"/>
      <c r="ZL8" s="139"/>
      <c r="ZM8" s="139"/>
      <c r="ZN8" s="139"/>
      <c r="ZO8" s="139"/>
      <c r="ZP8" s="139"/>
      <c r="ZQ8" s="139"/>
      <c r="ZR8" s="139"/>
      <c r="ZS8" s="139"/>
      <c r="ZT8" s="139"/>
      <c r="ZU8" s="139"/>
      <c r="ZV8" s="139"/>
      <c r="ZW8" s="139"/>
      <c r="ZX8" s="139"/>
      <c r="ZY8" s="139"/>
      <c r="ZZ8" s="139"/>
      <c r="AAA8" s="139"/>
      <c r="AAB8" s="139"/>
      <c r="AAC8" s="139"/>
      <c r="AAD8" s="139"/>
      <c r="AAE8" s="139"/>
      <c r="AAF8" s="139"/>
      <c r="AAG8" s="139"/>
      <c r="AAH8" s="139"/>
      <c r="AAI8" s="139"/>
      <c r="AAJ8" s="139"/>
      <c r="AAK8" s="139"/>
      <c r="AAL8" s="139"/>
      <c r="AAM8" s="139"/>
      <c r="AAN8" s="139"/>
      <c r="AAO8" s="139"/>
      <c r="AAP8" s="139"/>
      <c r="AAQ8" s="139"/>
      <c r="AAR8" s="139"/>
      <c r="AAS8" s="139"/>
      <c r="AAT8" s="139"/>
      <c r="AAU8" s="139"/>
      <c r="AAV8" s="139"/>
      <c r="AAW8" s="139"/>
      <c r="AAX8" s="139"/>
      <c r="AAY8" s="139"/>
      <c r="AAZ8" s="139"/>
      <c r="ABA8" s="139"/>
      <c r="ABB8" s="139"/>
      <c r="ABC8" s="139"/>
      <c r="ABD8" s="139"/>
      <c r="ABE8" s="139"/>
      <c r="ABF8" s="139"/>
      <c r="ABG8" s="139"/>
      <c r="ABH8" s="139"/>
      <c r="ABI8" s="139"/>
      <c r="ABJ8" s="139"/>
      <c r="ABK8" s="139"/>
      <c r="ABL8" s="139"/>
      <c r="ABM8" s="139"/>
      <c r="ABN8" s="139"/>
      <c r="ABO8" s="139"/>
      <c r="ABP8" s="139"/>
      <c r="ABQ8" s="139"/>
      <c r="ABR8" s="139"/>
      <c r="ABS8" s="139"/>
      <c r="ABT8" s="139"/>
      <c r="ABU8" s="139"/>
      <c r="ABV8" s="139"/>
      <c r="ABW8" s="139"/>
      <c r="ABX8" s="139"/>
      <c r="ABY8" s="139"/>
      <c r="ABZ8" s="139"/>
      <c r="ACA8" s="139"/>
      <c r="ACB8" s="139"/>
      <c r="ACC8" s="139"/>
      <c r="ACD8" s="139"/>
      <c r="ACE8" s="139"/>
      <c r="ACF8" s="139"/>
      <c r="ACG8" s="139"/>
      <c r="ACH8" s="139"/>
      <c r="ACI8" s="139"/>
      <c r="ACJ8" s="139"/>
      <c r="ACK8" s="139"/>
      <c r="ACL8" s="139"/>
      <c r="ACM8" s="139"/>
      <c r="ACN8" s="139"/>
      <c r="ACO8" s="139"/>
      <c r="ACP8" s="139"/>
      <c r="ACQ8" s="139"/>
      <c r="ACR8" s="139"/>
      <c r="ACS8" s="139"/>
      <c r="ACT8" s="139"/>
      <c r="ACU8" s="139"/>
      <c r="ACV8" s="139"/>
      <c r="ACW8" s="139"/>
      <c r="ACX8" s="139"/>
      <c r="ACY8" s="139"/>
      <c r="ACZ8" s="139"/>
      <c r="ADA8" s="139"/>
      <c r="ADB8" s="139"/>
      <c r="ADC8" s="139"/>
      <c r="ADD8" s="139"/>
      <c r="ADE8" s="139"/>
      <c r="ADF8" s="139"/>
      <c r="ADG8" s="139"/>
      <c r="ADH8" s="139"/>
      <c r="ADI8" s="139"/>
      <c r="ADJ8" s="139"/>
      <c r="ADK8" s="139"/>
      <c r="ADL8" s="139"/>
      <c r="ADM8" s="139"/>
      <c r="ADN8" s="139"/>
      <c r="ADO8" s="139"/>
      <c r="ADP8" s="139"/>
      <c r="ADQ8" s="139"/>
      <c r="ADR8" s="139"/>
      <c r="ADS8" s="139"/>
      <c r="ADT8" s="139"/>
      <c r="ADU8" s="139"/>
      <c r="ADV8" s="139"/>
      <c r="ADW8" s="139"/>
      <c r="ADX8" s="139"/>
      <c r="ADY8" s="139"/>
      <c r="ADZ8" s="139"/>
      <c r="AEA8" s="139"/>
      <c r="AEB8" s="139"/>
      <c r="AEC8" s="139"/>
      <c r="AED8" s="139"/>
      <c r="AEE8" s="139"/>
      <c r="AEF8" s="139"/>
      <c r="AEG8" s="139"/>
      <c r="AEH8" s="139"/>
      <c r="AEI8" s="139"/>
      <c r="AEJ8" s="139"/>
      <c r="AEK8" s="139"/>
      <c r="AEL8" s="139"/>
      <c r="AEM8" s="139"/>
      <c r="AEN8" s="139"/>
      <c r="AEO8" s="139"/>
      <c r="AEP8" s="139"/>
      <c r="AEQ8" s="139"/>
      <c r="AER8" s="139"/>
      <c r="AES8" s="139"/>
      <c r="AET8" s="139"/>
      <c r="AEU8" s="139"/>
      <c r="AEV8" s="139"/>
      <c r="AEW8" s="139"/>
      <c r="AEX8" s="139"/>
      <c r="AEY8" s="139"/>
      <c r="AEZ8" s="139"/>
      <c r="AFA8" s="139"/>
      <c r="AFB8" s="139"/>
      <c r="AFC8" s="139"/>
      <c r="AFD8" s="139"/>
      <c r="AFE8" s="139"/>
      <c r="AFF8" s="139"/>
      <c r="AFG8" s="139"/>
      <c r="AFH8" s="139"/>
      <c r="AFI8" s="139"/>
      <c r="AFJ8" s="139"/>
      <c r="AFK8" s="139"/>
      <c r="AFL8" s="139"/>
      <c r="AFM8" s="139"/>
      <c r="AFN8" s="139"/>
      <c r="AFO8" s="139"/>
      <c r="AFP8" s="139"/>
      <c r="AFQ8" s="139"/>
      <c r="AFR8" s="139"/>
      <c r="AFS8" s="139"/>
      <c r="AFT8" s="139"/>
      <c r="AFU8" s="139"/>
      <c r="AFV8" s="139"/>
      <c r="AFW8" s="139"/>
      <c r="AFX8" s="139"/>
      <c r="AFY8" s="139"/>
      <c r="AFZ8" s="139"/>
      <c r="AGA8" s="139"/>
      <c r="AGB8" s="139"/>
      <c r="AGC8" s="139"/>
      <c r="AGD8" s="139"/>
      <c r="AGE8" s="139"/>
      <c r="AGF8" s="139"/>
      <c r="AGG8" s="139"/>
      <c r="AGH8" s="139"/>
      <c r="AGI8" s="139"/>
      <c r="AGJ8" s="139"/>
      <c r="AGK8" s="139"/>
      <c r="AGL8" s="139"/>
      <c r="AGM8" s="139"/>
      <c r="AGN8" s="139"/>
      <c r="AGO8" s="139"/>
      <c r="AGP8" s="139"/>
      <c r="AGQ8" s="139"/>
      <c r="AGR8" s="139"/>
      <c r="AGS8" s="139"/>
      <c r="AGT8" s="139"/>
      <c r="AGU8" s="139"/>
      <c r="AGV8" s="139"/>
      <c r="AGW8" s="139"/>
      <c r="AGX8" s="139"/>
      <c r="AGY8" s="139"/>
      <c r="AGZ8" s="139"/>
      <c r="AHA8" s="139"/>
      <c r="AHB8" s="139"/>
      <c r="AHC8" s="139"/>
      <c r="AHD8" s="139"/>
      <c r="AHE8" s="139"/>
      <c r="AHF8" s="139"/>
      <c r="AHG8" s="139"/>
      <c r="AHH8" s="139"/>
      <c r="AHI8" s="139"/>
      <c r="AHJ8" s="139"/>
      <c r="AHK8" s="139"/>
      <c r="AHL8" s="139"/>
      <c r="AHM8" s="139"/>
      <c r="AHN8" s="139"/>
      <c r="AHO8" s="139"/>
      <c r="AHP8" s="139"/>
      <c r="AHQ8" s="139"/>
      <c r="AHR8" s="139"/>
      <c r="AHS8" s="139"/>
      <c r="AHT8" s="139"/>
      <c r="AHU8" s="139"/>
      <c r="AHV8" s="139"/>
      <c r="AHW8" s="139"/>
      <c r="AHX8" s="139"/>
      <c r="AHY8" s="139"/>
      <c r="AHZ8" s="139"/>
      <c r="AIA8" s="139"/>
      <c r="AIB8" s="139"/>
      <c r="AIC8" s="139"/>
      <c r="AID8" s="139"/>
      <c r="AIE8" s="139"/>
      <c r="AIF8" s="139"/>
      <c r="AIG8" s="139"/>
      <c r="AIH8" s="139"/>
      <c r="AII8" s="139"/>
      <c r="AIJ8" s="139"/>
      <c r="AIK8" s="139"/>
      <c r="AIL8" s="139"/>
      <c r="AIM8" s="139"/>
      <c r="AIN8" s="139"/>
      <c r="AIO8" s="139"/>
      <c r="AIP8" s="139"/>
      <c r="AIQ8" s="139"/>
      <c r="AIR8" s="139"/>
      <c r="AIS8" s="139"/>
      <c r="AIT8" s="139"/>
      <c r="AIU8" s="139"/>
      <c r="AIV8" s="139"/>
      <c r="AIW8" s="139"/>
      <c r="AIX8" s="139"/>
      <c r="AIY8" s="139"/>
      <c r="AIZ8" s="139"/>
      <c r="AJA8" s="139"/>
      <c r="AJB8" s="139"/>
      <c r="AJC8" s="139"/>
      <c r="AJD8" s="139"/>
      <c r="AJE8" s="139"/>
      <c r="AJF8" s="139"/>
      <c r="AJG8" s="139"/>
      <c r="AJH8" s="139"/>
      <c r="AJI8" s="139"/>
      <c r="AJJ8" s="139"/>
      <c r="AJK8" s="139"/>
      <c r="AJL8" s="139"/>
      <c r="AJM8" s="139"/>
      <c r="AJN8" s="139"/>
      <c r="AJO8" s="139"/>
      <c r="AJP8" s="139"/>
      <c r="AJQ8" s="139"/>
      <c r="AJR8" s="139"/>
      <c r="AJS8" s="139"/>
      <c r="AJT8" s="139"/>
      <c r="AJU8" s="139"/>
      <c r="AJV8" s="139"/>
      <c r="AJW8" s="139"/>
      <c r="AJX8" s="139"/>
      <c r="AJY8" s="139"/>
      <c r="AJZ8" s="139"/>
      <c r="AKA8" s="139"/>
      <c r="AKB8" s="139"/>
      <c r="AKC8" s="139"/>
      <c r="AKD8" s="139"/>
      <c r="AKE8" s="139"/>
      <c r="AKF8" s="139"/>
      <c r="AKG8" s="139"/>
      <c r="AKH8" s="139"/>
      <c r="AKI8" s="139"/>
      <c r="AKJ8" s="139"/>
      <c r="AKK8" s="139"/>
      <c r="AKL8" s="139"/>
      <c r="AKM8" s="139"/>
      <c r="AKN8" s="139"/>
      <c r="AKO8" s="139"/>
      <c r="AKP8" s="139"/>
      <c r="AKQ8" s="139"/>
      <c r="AKR8" s="139"/>
      <c r="AKS8" s="139"/>
      <c r="AKT8" s="139"/>
      <c r="AKU8" s="139"/>
      <c r="AKV8" s="139"/>
      <c r="AKW8" s="139"/>
      <c r="AKX8" s="139"/>
      <c r="AKY8" s="139"/>
      <c r="AKZ8" s="139"/>
      <c r="ALA8" s="139"/>
      <c r="ALB8" s="139"/>
      <c r="ALC8" s="139"/>
      <c r="ALD8" s="139"/>
      <c r="ALE8" s="139"/>
      <c r="ALF8" s="139"/>
      <c r="ALG8" s="139"/>
      <c r="ALH8" s="139"/>
      <c r="ALI8" s="139"/>
      <c r="ALJ8" s="139"/>
      <c r="ALK8" s="139"/>
      <c r="ALL8" s="139"/>
      <c r="ALM8" s="139"/>
      <c r="ALN8" s="139"/>
      <c r="ALO8" s="139"/>
      <c r="ALP8" s="139"/>
      <c r="ALQ8" s="139"/>
      <c r="ALR8" s="139"/>
      <c r="ALS8" s="139"/>
      <c r="ALT8" s="139"/>
      <c r="ALU8" s="139"/>
      <c r="ALV8" s="139"/>
      <c r="ALW8" s="139"/>
      <c r="ALX8" s="139"/>
      <c r="ALY8" s="139"/>
      <c r="ALZ8" s="139"/>
      <c r="AMA8" s="139"/>
      <c r="AMB8" s="139"/>
      <c r="AMC8" s="139"/>
      <c r="AMD8" s="139"/>
      <c r="AME8" s="139"/>
    </row>
    <row r="9" spans="1:1024" s="140" customFormat="1" x14ac:dyDescent="0.25">
      <c r="A9" s="146" t="s">
        <v>7</v>
      </c>
      <c r="B9" s="84">
        <f t="shared" ref="B9" ca="1" si="3">SUMPRODUCT(--MID(B8,LEN(B8)+1-ROW(INDIRECT("1:"&amp;LEN(B8))),1),(2^(ROW(INDIRECT("1:"&amp;LEN(B8)))-1)))</f>
        <v>0</v>
      </c>
      <c r="C9" s="84">
        <f t="shared" ref="C9" ca="1" si="4">SUMPRODUCT(--MID(C8,LEN(C8)+1-ROW(INDIRECT("1:"&amp;LEN(C8))),1),(2^(ROW(INDIRECT("1:"&amp;LEN(C8)))-1)))</f>
        <v>0</v>
      </c>
      <c r="D9" s="84">
        <f t="shared" ref="D9" ca="1" si="5">SUMPRODUCT(--MID(D8,LEN(D8)+1-ROW(INDIRECT("1:"&amp;LEN(D8))),1),(2^(ROW(INDIRECT("1:"&amp;LEN(D8)))-1)))</f>
        <v>1668</v>
      </c>
      <c r="E9" s="84">
        <f t="shared" ref="E9" ca="1" si="6">SUMPRODUCT(--MID(E8,LEN(E8)+1-ROW(INDIRECT("1:"&amp;LEN(E8))),1),(2^(ROW(INDIRECT("1:"&amp;LEN(E8)))-1)))</f>
        <v>396</v>
      </c>
      <c r="F9" s="84">
        <f t="shared" ref="F9" ca="1" si="7">SUMPRODUCT(--MID(F8,LEN(F8)+1-ROW(INDIRECT("1:"&amp;LEN(F8))),1),(2^(ROW(INDIRECT("1:"&amp;LEN(F8)))-1)))</f>
        <v>23690</v>
      </c>
      <c r="G9" s="84">
        <f t="shared" ref="G9" ca="1" si="8">SUMPRODUCT(--MID(G8,LEN(G8)+1-ROW(INDIRECT("1:"&amp;LEN(G8))),1),(2^(ROW(INDIRECT("1:"&amp;LEN(G8)))-1)))</f>
        <v>8</v>
      </c>
      <c r="H9" s="84">
        <f t="shared" ref="H9" ca="1" si="9">SUMPRODUCT(--MID(H8,LEN(H8)+1-ROW(INDIRECT("1:"&amp;LEN(H8))),1),(2^(ROW(INDIRECT("1:"&amp;LEN(H8)))-1)))</f>
        <v>1</v>
      </c>
      <c r="I9" s="84">
        <f t="shared" ref="I9" ca="1" si="10">SUMPRODUCT(--MID(I8,LEN(I8)+1-ROW(INDIRECT("1:"&amp;LEN(I8))),1),(2^(ROW(INDIRECT("1:"&amp;LEN(I8)))-1)))</f>
        <v>27</v>
      </c>
      <c r="J9" s="84">
        <f t="shared" ref="J9" ca="1" si="11">SUMPRODUCT(--MID(J8,LEN(J8)+1-ROW(INDIRECT("1:"&amp;LEN(J8))),1),(2^(ROW(INDIRECT("1:"&amp;LEN(J8)))-1)))</f>
        <v>0</v>
      </c>
      <c r="K9" s="14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39"/>
      <c r="EL9" s="139"/>
      <c r="EM9" s="139"/>
      <c r="EN9" s="139"/>
      <c r="EO9" s="139"/>
      <c r="EP9" s="139"/>
      <c r="EQ9" s="139"/>
      <c r="ER9" s="139"/>
      <c r="ES9" s="139"/>
      <c r="ET9" s="139"/>
      <c r="EU9" s="139"/>
      <c r="EV9" s="139"/>
      <c r="EW9" s="139"/>
      <c r="EX9" s="139"/>
      <c r="EY9" s="139"/>
      <c r="EZ9" s="139"/>
      <c r="FA9" s="139"/>
      <c r="FB9" s="139"/>
      <c r="FC9" s="139"/>
      <c r="FD9" s="139"/>
      <c r="FE9" s="139"/>
      <c r="FF9" s="139"/>
      <c r="FG9" s="139"/>
      <c r="FH9" s="139"/>
      <c r="FI9" s="139"/>
      <c r="FJ9" s="139"/>
      <c r="FK9" s="139"/>
      <c r="FL9" s="139"/>
      <c r="FM9" s="139"/>
      <c r="FN9" s="139"/>
      <c r="FO9" s="139"/>
      <c r="FP9" s="139"/>
      <c r="FQ9" s="139"/>
      <c r="FR9" s="139"/>
      <c r="FS9" s="139"/>
      <c r="FT9" s="139"/>
      <c r="FU9" s="139"/>
      <c r="FV9" s="139"/>
      <c r="FW9" s="139"/>
      <c r="FX9" s="139"/>
      <c r="FY9" s="139"/>
      <c r="FZ9" s="139"/>
      <c r="GA9" s="139"/>
      <c r="GB9" s="139"/>
      <c r="GC9" s="139"/>
      <c r="GD9" s="139"/>
      <c r="GE9" s="139"/>
      <c r="GF9" s="139"/>
      <c r="GG9" s="139"/>
      <c r="GH9" s="139"/>
      <c r="GI9" s="139"/>
      <c r="GJ9" s="139"/>
      <c r="GK9" s="139"/>
      <c r="GL9" s="139"/>
      <c r="GM9" s="139"/>
      <c r="GN9" s="139"/>
      <c r="GO9" s="139"/>
      <c r="GP9" s="139"/>
      <c r="GQ9" s="139"/>
      <c r="GR9" s="139"/>
      <c r="GS9" s="139"/>
      <c r="GT9" s="139"/>
      <c r="GU9" s="139"/>
      <c r="GV9" s="139"/>
      <c r="GW9" s="139"/>
      <c r="GX9" s="139"/>
      <c r="GY9" s="139"/>
      <c r="GZ9" s="139"/>
      <c r="HA9" s="139"/>
      <c r="HB9" s="139"/>
      <c r="HC9" s="139"/>
      <c r="HD9" s="139"/>
      <c r="HE9" s="139"/>
      <c r="HF9" s="139"/>
      <c r="HG9" s="139"/>
      <c r="HH9" s="139"/>
      <c r="HI9" s="139"/>
      <c r="HJ9" s="139"/>
      <c r="HK9" s="139"/>
      <c r="HL9" s="139"/>
      <c r="HM9" s="139"/>
      <c r="HN9" s="139"/>
      <c r="HO9" s="139"/>
      <c r="HP9" s="139"/>
      <c r="HQ9" s="139"/>
      <c r="HR9" s="139"/>
      <c r="HS9" s="139"/>
      <c r="HT9" s="139"/>
      <c r="HU9" s="139"/>
      <c r="HV9" s="139"/>
      <c r="HW9" s="139"/>
      <c r="HX9" s="139"/>
      <c r="HY9" s="139"/>
      <c r="HZ9" s="139"/>
      <c r="IA9" s="139"/>
      <c r="IB9" s="139"/>
      <c r="IC9" s="139"/>
      <c r="ID9" s="139"/>
      <c r="IE9" s="139"/>
      <c r="IF9" s="139"/>
      <c r="IG9" s="139"/>
      <c r="IH9" s="139"/>
      <c r="II9" s="139"/>
      <c r="IJ9" s="139"/>
      <c r="IK9" s="139"/>
      <c r="IL9" s="139"/>
      <c r="IM9" s="139"/>
      <c r="IN9" s="139"/>
      <c r="IO9" s="139"/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/>
      <c r="JA9" s="139"/>
      <c r="JB9" s="139"/>
      <c r="JC9" s="139"/>
      <c r="JD9" s="139"/>
      <c r="JE9" s="139"/>
      <c r="JF9" s="139"/>
      <c r="JG9" s="139"/>
      <c r="JH9" s="139"/>
      <c r="JI9" s="139"/>
      <c r="JJ9" s="139"/>
      <c r="JK9" s="139"/>
      <c r="JL9" s="139"/>
      <c r="JM9" s="139"/>
      <c r="JN9" s="139"/>
      <c r="JO9" s="139"/>
      <c r="JP9" s="139"/>
      <c r="JQ9" s="139"/>
      <c r="JR9" s="139"/>
      <c r="JS9" s="139"/>
      <c r="JT9" s="139"/>
      <c r="JU9" s="139"/>
      <c r="JV9" s="139"/>
      <c r="JW9" s="139"/>
      <c r="JX9" s="139"/>
      <c r="JY9" s="139"/>
      <c r="JZ9" s="139"/>
      <c r="KA9" s="139"/>
      <c r="KB9" s="139"/>
      <c r="KC9" s="139"/>
      <c r="KD9" s="139"/>
      <c r="KE9" s="139"/>
      <c r="KF9" s="139"/>
      <c r="KG9" s="139"/>
      <c r="KH9" s="139"/>
      <c r="KI9" s="139"/>
      <c r="KJ9" s="139"/>
      <c r="KK9" s="139"/>
      <c r="KL9" s="139"/>
      <c r="KM9" s="139"/>
      <c r="KN9" s="139"/>
      <c r="KO9" s="139"/>
      <c r="KP9" s="139"/>
      <c r="KQ9" s="139"/>
      <c r="KR9" s="139"/>
      <c r="KS9" s="139"/>
      <c r="KT9" s="139"/>
      <c r="KU9" s="139"/>
      <c r="KV9" s="139"/>
      <c r="KW9" s="139"/>
      <c r="KX9" s="139"/>
      <c r="KY9" s="139"/>
      <c r="KZ9" s="139"/>
      <c r="LA9" s="139"/>
      <c r="LB9" s="139"/>
      <c r="LC9" s="139"/>
      <c r="LD9" s="139"/>
      <c r="LE9" s="139"/>
      <c r="LF9" s="139"/>
      <c r="LG9" s="139"/>
      <c r="LH9" s="139"/>
      <c r="LI9" s="139"/>
      <c r="LJ9" s="139"/>
      <c r="LK9" s="139"/>
      <c r="LL9" s="139"/>
      <c r="LM9" s="139"/>
      <c r="LN9" s="139"/>
      <c r="LO9" s="139"/>
      <c r="LP9" s="139"/>
      <c r="LQ9" s="139"/>
      <c r="LR9" s="139"/>
      <c r="LS9" s="139"/>
      <c r="LT9" s="139"/>
      <c r="LU9" s="139"/>
      <c r="LV9" s="139"/>
      <c r="LW9" s="139"/>
      <c r="LX9" s="139"/>
      <c r="LY9" s="139"/>
      <c r="LZ9" s="139"/>
      <c r="MA9" s="139"/>
      <c r="MB9" s="139"/>
      <c r="MC9" s="139"/>
      <c r="MD9" s="139"/>
      <c r="ME9" s="139"/>
      <c r="MF9" s="139"/>
      <c r="MG9" s="139"/>
      <c r="MH9" s="139"/>
      <c r="MI9" s="139"/>
      <c r="MJ9" s="139"/>
      <c r="MK9" s="139"/>
      <c r="ML9" s="139"/>
      <c r="MM9" s="139"/>
      <c r="MN9" s="139"/>
      <c r="MO9" s="139"/>
      <c r="MP9" s="139"/>
      <c r="MQ9" s="139"/>
      <c r="MR9" s="139"/>
      <c r="MS9" s="139"/>
      <c r="MT9" s="139"/>
      <c r="MU9" s="139"/>
      <c r="MV9" s="139"/>
      <c r="MW9" s="139"/>
      <c r="MX9" s="139"/>
      <c r="MY9" s="139"/>
      <c r="MZ9" s="139"/>
      <c r="NA9" s="139"/>
      <c r="NB9" s="139"/>
      <c r="NC9" s="139"/>
      <c r="ND9" s="139"/>
      <c r="NE9" s="139"/>
      <c r="NF9" s="139"/>
      <c r="NG9" s="139"/>
      <c r="NH9" s="139"/>
      <c r="NI9" s="139"/>
      <c r="NJ9" s="139"/>
      <c r="NK9" s="139"/>
      <c r="NL9" s="139"/>
      <c r="NM9" s="139"/>
      <c r="NN9" s="139"/>
      <c r="NO9" s="139"/>
      <c r="NP9" s="139"/>
      <c r="NQ9" s="139"/>
      <c r="NR9" s="139"/>
      <c r="NS9" s="139"/>
      <c r="NT9" s="139"/>
      <c r="NU9" s="139"/>
      <c r="NV9" s="139"/>
      <c r="NW9" s="139"/>
      <c r="NX9" s="139"/>
      <c r="NY9" s="139"/>
      <c r="NZ9" s="139"/>
      <c r="OA9" s="139"/>
      <c r="OB9" s="139"/>
      <c r="OC9" s="139"/>
      <c r="OD9" s="139"/>
      <c r="OE9" s="139"/>
      <c r="OF9" s="139"/>
      <c r="OG9" s="139"/>
      <c r="OH9" s="139"/>
      <c r="OI9" s="139"/>
      <c r="OJ9" s="139"/>
      <c r="OK9" s="139"/>
      <c r="OL9" s="139"/>
      <c r="OM9" s="139"/>
      <c r="ON9" s="139"/>
      <c r="OO9" s="139"/>
      <c r="OP9" s="139"/>
      <c r="OQ9" s="139"/>
      <c r="OR9" s="139"/>
      <c r="OS9" s="139"/>
      <c r="OT9" s="139"/>
      <c r="OU9" s="139"/>
      <c r="OV9" s="139"/>
      <c r="OW9" s="139"/>
      <c r="OX9" s="139"/>
      <c r="OY9" s="139"/>
      <c r="OZ9" s="139"/>
      <c r="PA9" s="139"/>
      <c r="PB9" s="139"/>
      <c r="PC9" s="139"/>
      <c r="PD9" s="139"/>
      <c r="PE9" s="139"/>
      <c r="PF9" s="139"/>
      <c r="PG9" s="139"/>
      <c r="PH9" s="139"/>
      <c r="PI9" s="139"/>
      <c r="PJ9" s="139"/>
      <c r="PK9" s="139"/>
      <c r="PL9" s="139"/>
      <c r="PM9" s="139"/>
      <c r="PN9" s="139"/>
      <c r="PO9" s="139"/>
      <c r="PP9" s="139"/>
      <c r="PQ9" s="139"/>
      <c r="PR9" s="139"/>
      <c r="PS9" s="139"/>
      <c r="PT9" s="139"/>
      <c r="PU9" s="139"/>
      <c r="PV9" s="139"/>
      <c r="PW9" s="139"/>
      <c r="PX9" s="139"/>
      <c r="PY9" s="139"/>
      <c r="PZ9" s="139"/>
      <c r="QA9" s="139"/>
      <c r="QB9" s="139"/>
      <c r="QC9" s="139"/>
      <c r="QD9" s="139"/>
      <c r="QE9" s="139"/>
      <c r="QF9" s="139"/>
      <c r="QG9" s="139"/>
      <c r="QH9" s="139"/>
      <c r="QI9" s="139"/>
      <c r="QJ9" s="139"/>
      <c r="QK9" s="139"/>
      <c r="QL9" s="139"/>
      <c r="QM9" s="139"/>
      <c r="QN9" s="139"/>
      <c r="QO9" s="139"/>
      <c r="QP9" s="139"/>
      <c r="QQ9" s="139"/>
      <c r="QR9" s="139"/>
      <c r="QS9" s="139"/>
      <c r="QT9" s="139"/>
      <c r="QU9" s="139"/>
      <c r="QV9" s="139"/>
      <c r="QW9" s="139"/>
      <c r="QX9" s="139"/>
      <c r="QY9" s="139"/>
      <c r="QZ9" s="139"/>
      <c r="RA9" s="139"/>
      <c r="RB9" s="139"/>
      <c r="RC9" s="139"/>
      <c r="RD9" s="139"/>
      <c r="RE9" s="139"/>
      <c r="RF9" s="139"/>
      <c r="RG9" s="139"/>
      <c r="RH9" s="139"/>
      <c r="RI9" s="139"/>
      <c r="RJ9" s="139"/>
      <c r="RK9" s="139"/>
      <c r="RL9" s="139"/>
      <c r="RM9" s="139"/>
      <c r="RN9" s="139"/>
      <c r="RO9" s="139"/>
      <c r="RP9" s="139"/>
      <c r="RQ9" s="139"/>
      <c r="RR9" s="139"/>
      <c r="RS9" s="139"/>
      <c r="RT9" s="139"/>
      <c r="RU9" s="139"/>
      <c r="RV9" s="139"/>
      <c r="RW9" s="139"/>
      <c r="RX9" s="139"/>
      <c r="RY9" s="139"/>
      <c r="RZ9" s="139"/>
      <c r="SA9" s="139"/>
      <c r="SB9" s="139"/>
      <c r="SC9" s="139"/>
      <c r="SD9" s="139"/>
      <c r="SE9" s="139"/>
      <c r="SF9" s="139"/>
      <c r="SG9" s="139"/>
      <c r="SH9" s="139"/>
      <c r="SI9" s="139"/>
      <c r="SJ9" s="139"/>
      <c r="SK9" s="139"/>
      <c r="SL9" s="139"/>
      <c r="SM9" s="139"/>
      <c r="SN9" s="139"/>
      <c r="SO9" s="139"/>
      <c r="SP9" s="139"/>
      <c r="SQ9" s="139"/>
      <c r="SR9" s="139"/>
      <c r="SS9" s="139"/>
      <c r="ST9" s="139"/>
      <c r="SU9" s="139"/>
      <c r="SV9" s="139"/>
      <c r="SW9" s="139"/>
      <c r="SX9" s="139"/>
      <c r="SY9" s="139"/>
      <c r="SZ9" s="139"/>
      <c r="TA9" s="139"/>
      <c r="TB9" s="139"/>
      <c r="TC9" s="139"/>
      <c r="TD9" s="139"/>
      <c r="TE9" s="139"/>
      <c r="TF9" s="139"/>
      <c r="TG9" s="139"/>
      <c r="TH9" s="139"/>
      <c r="TI9" s="139"/>
      <c r="TJ9" s="139"/>
      <c r="TK9" s="139"/>
      <c r="TL9" s="139"/>
      <c r="TM9" s="139"/>
      <c r="TN9" s="139"/>
      <c r="TO9" s="139"/>
      <c r="TP9" s="139"/>
      <c r="TQ9" s="139"/>
      <c r="TR9" s="139"/>
      <c r="TS9" s="139"/>
      <c r="TT9" s="139"/>
      <c r="TU9" s="139"/>
      <c r="TV9" s="139"/>
      <c r="TW9" s="139"/>
      <c r="TX9" s="139"/>
      <c r="TY9" s="139"/>
      <c r="TZ9" s="139"/>
      <c r="UA9" s="139"/>
      <c r="UB9" s="139"/>
      <c r="UC9" s="139"/>
      <c r="UD9" s="139"/>
      <c r="UE9" s="139"/>
      <c r="UF9" s="139"/>
      <c r="UG9" s="139"/>
      <c r="UH9" s="139"/>
      <c r="UI9" s="139"/>
      <c r="UJ9" s="139"/>
      <c r="UK9" s="139"/>
      <c r="UL9" s="139"/>
      <c r="UM9" s="139"/>
      <c r="UN9" s="139"/>
      <c r="UO9" s="139"/>
      <c r="UP9" s="139"/>
      <c r="UQ9" s="139"/>
      <c r="UR9" s="139"/>
      <c r="US9" s="139"/>
      <c r="UT9" s="139"/>
      <c r="UU9" s="139"/>
      <c r="UV9" s="139"/>
      <c r="UW9" s="139"/>
      <c r="UX9" s="139"/>
      <c r="UY9" s="139"/>
      <c r="UZ9" s="139"/>
      <c r="VA9" s="139"/>
      <c r="VB9" s="139"/>
      <c r="VC9" s="139"/>
      <c r="VD9" s="139"/>
      <c r="VE9" s="139"/>
      <c r="VF9" s="139"/>
      <c r="VG9" s="139"/>
      <c r="VH9" s="139"/>
      <c r="VI9" s="139"/>
      <c r="VJ9" s="139"/>
      <c r="VK9" s="139"/>
      <c r="VL9" s="139"/>
      <c r="VM9" s="139"/>
      <c r="VN9" s="139"/>
      <c r="VO9" s="139"/>
      <c r="VP9" s="139"/>
      <c r="VQ9" s="139"/>
      <c r="VR9" s="139"/>
      <c r="VS9" s="139"/>
      <c r="VT9" s="139"/>
      <c r="VU9" s="139"/>
      <c r="VV9" s="139"/>
      <c r="VW9" s="139"/>
      <c r="VX9" s="139"/>
      <c r="VY9" s="139"/>
      <c r="VZ9" s="139"/>
      <c r="WA9" s="139"/>
      <c r="WB9" s="139"/>
      <c r="WC9" s="139"/>
      <c r="WD9" s="139"/>
      <c r="WE9" s="139"/>
      <c r="WF9" s="139"/>
      <c r="WG9" s="139"/>
      <c r="WH9" s="139"/>
      <c r="WI9" s="139"/>
      <c r="WJ9" s="139"/>
      <c r="WK9" s="139"/>
      <c r="WL9" s="139"/>
      <c r="WM9" s="139"/>
      <c r="WN9" s="139"/>
      <c r="WO9" s="139"/>
      <c r="WP9" s="139"/>
      <c r="WQ9" s="139"/>
      <c r="WR9" s="139"/>
      <c r="WS9" s="139"/>
      <c r="WT9" s="139"/>
      <c r="WU9" s="139"/>
      <c r="WV9" s="139"/>
      <c r="WW9" s="139"/>
      <c r="WX9" s="139"/>
      <c r="WY9" s="139"/>
      <c r="WZ9" s="139"/>
      <c r="XA9" s="139"/>
      <c r="XB9" s="139"/>
      <c r="XC9" s="139"/>
      <c r="XD9" s="139"/>
      <c r="XE9" s="139"/>
      <c r="XF9" s="139"/>
      <c r="XG9" s="139"/>
      <c r="XH9" s="139"/>
      <c r="XI9" s="139"/>
      <c r="XJ9" s="139"/>
      <c r="XK9" s="139"/>
      <c r="XL9" s="139"/>
      <c r="XM9" s="139"/>
      <c r="XN9" s="139"/>
      <c r="XO9" s="139"/>
      <c r="XP9" s="139"/>
      <c r="XQ9" s="139"/>
      <c r="XR9" s="139"/>
      <c r="XS9" s="139"/>
      <c r="XT9" s="139"/>
      <c r="XU9" s="139"/>
      <c r="XV9" s="139"/>
      <c r="XW9" s="139"/>
      <c r="XX9" s="139"/>
      <c r="XY9" s="139"/>
      <c r="XZ9" s="139"/>
      <c r="YA9" s="139"/>
      <c r="YB9" s="139"/>
      <c r="YC9" s="139"/>
      <c r="YD9" s="139"/>
      <c r="YE9" s="139"/>
      <c r="YF9" s="139"/>
      <c r="YG9" s="139"/>
      <c r="YH9" s="139"/>
      <c r="YI9" s="139"/>
      <c r="YJ9" s="139"/>
      <c r="YK9" s="139"/>
      <c r="YL9" s="139"/>
      <c r="YM9" s="139"/>
      <c r="YN9" s="139"/>
      <c r="YO9" s="139"/>
      <c r="YP9" s="139"/>
      <c r="YQ9" s="139"/>
      <c r="YR9" s="139"/>
      <c r="YS9" s="139"/>
      <c r="YT9" s="139"/>
      <c r="YU9" s="139"/>
      <c r="YV9" s="139"/>
      <c r="YW9" s="139"/>
      <c r="YX9" s="139"/>
      <c r="YY9" s="139"/>
      <c r="YZ9" s="139"/>
      <c r="ZA9" s="139"/>
      <c r="ZB9" s="139"/>
      <c r="ZC9" s="139"/>
      <c r="ZD9" s="139"/>
      <c r="ZE9" s="139"/>
      <c r="ZF9" s="139"/>
      <c r="ZG9" s="139"/>
      <c r="ZH9" s="139"/>
      <c r="ZI9" s="139"/>
      <c r="ZJ9" s="139"/>
      <c r="ZK9" s="139"/>
      <c r="ZL9" s="139"/>
      <c r="ZM9" s="139"/>
      <c r="ZN9" s="139"/>
      <c r="ZO9" s="139"/>
      <c r="ZP9" s="139"/>
      <c r="ZQ9" s="139"/>
      <c r="ZR9" s="139"/>
      <c r="ZS9" s="139"/>
      <c r="ZT9" s="139"/>
      <c r="ZU9" s="139"/>
      <c r="ZV9" s="139"/>
      <c r="ZW9" s="139"/>
      <c r="ZX9" s="139"/>
      <c r="ZY9" s="139"/>
      <c r="ZZ9" s="139"/>
      <c r="AAA9" s="139"/>
      <c r="AAB9" s="139"/>
      <c r="AAC9" s="139"/>
      <c r="AAD9" s="139"/>
      <c r="AAE9" s="139"/>
      <c r="AAF9" s="139"/>
      <c r="AAG9" s="139"/>
      <c r="AAH9" s="139"/>
      <c r="AAI9" s="139"/>
      <c r="AAJ9" s="139"/>
      <c r="AAK9" s="139"/>
      <c r="AAL9" s="139"/>
      <c r="AAM9" s="139"/>
      <c r="AAN9" s="139"/>
      <c r="AAO9" s="139"/>
      <c r="AAP9" s="139"/>
      <c r="AAQ9" s="139"/>
      <c r="AAR9" s="139"/>
      <c r="AAS9" s="139"/>
      <c r="AAT9" s="139"/>
      <c r="AAU9" s="139"/>
      <c r="AAV9" s="139"/>
      <c r="AAW9" s="139"/>
      <c r="AAX9" s="139"/>
      <c r="AAY9" s="139"/>
      <c r="AAZ9" s="139"/>
      <c r="ABA9" s="139"/>
      <c r="ABB9" s="139"/>
      <c r="ABC9" s="139"/>
      <c r="ABD9" s="139"/>
      <c r="ABE9" s="139"/>
      <c r="ABF9" s="139"/>
      <c r="ABG9" s="139"/>
      <c r="ABH9" s="139"/>
      <c r="ABI9" s="139"/>
      <c r="ABJ9" s="139"/>
      <c r="ABK9" s="139"/>
      <c r="ABL9" s="139"/>
      <c r="ABM9" s="139"/>
      <c r="ABN9" s="139"/>
      <c r="ABO9" s="139"/>
      <c r="ABP9" s="139"/>
      <c r="ABQ9" s="139"/>
      <c r="ABR9" s="139"/>
      <c r="ABS9" s="139"/>
      <c r="ABT9" s="139"/>
      <c r="ABU9" s="139"/>
      <c r="ABV9" s="139"/>
      <c r="ABW9" s="139"/>
      <c r="ABX9" s="139"/>
      <c r="ABY9" s="139"/>
      <c r="ABZ9" s="139"/>
      <c r="ACA9" s="139"/>
      <c r="ACB9" s="139"/>
      <c r="ACC9" s="139"/>
      <c r="ACD9" s="139"/>
      <c r="ACE9" s="139"/>
      <c r="ACF9" s="139"/>
      <c r="ACG9" s="139"/>
      <c r="ACH9" s="139"/>
      <c r="ACI9" s="139"/>
      <c r="ACJ9" s="139"/>
      <c r="ACK9" s="139"/>
      <c r="ACL9" s="139"/>
      <c r="ACM9" s="139"/>
      <c r="ACN9" s="139"/>
      <c r="ACO9" s="139"/>
      <c r="ACP9" s="139"/>
      <c r="ACQ9" s="139"/>
      <c r="ACR9" s="139"/>
      <c r="ACS9" s="139"/>
      <c r="ACT9" s="139"/>
      <c r="ACU9" s="139"/>
      <c r="ACV9" s="139"/>
      <c r="ACW9" s="139"/>
      <c r="ACX9" s="139"/>
      <c r="ACY9" s="139"/>
      <c r="ACZ9" s="139"/>
      <c r="ADA9" s="139"/>
      <c r="ADB9" s="139"/>
      <c r="ADC9" s="139"/>
      <c r="ADD9" s="139"/>
      <c r="ADE9" s="139"/>
      <c r="ADF9" s="139"/>
      <c r="ADG9" s="139"/>
      <c r="ADH9" s="139"/>
      <c r="ADI9" s="139"/>
      <c r="ADJ9" s="139"/>
      <c r="ADK9" s="139"/>
      <c r="ADL9" s="139"/>
      <c r="ADM9" s="139"/>
      <c r="ADN9" s="139"/>
      <c r="ADO9" s="139"/>
      <c r="ADP9" s="139"/>
      <c r="ADQ9" s="139"/>
      <c r="ADR9" s="139"/>
      <c r="ADS9" s="139"/>
      <c r="ADT9" s="139"/>
      <c r="ADU9" s="139"/>
      <c r="ADV9" s="139"/>
      <c r="ADW9" s="139"/>
      <c r="ADX9" s="139"/>
      <c r="ADY9" s="139"/>
      <c r="ADZ9" s="139"/>
      <c r="AEA9" s="139"/>
      <c r="AEB9" s="139"/>
      <c r="AEC9" s="139"/>
      <c r="AED9" s="139"/>
      <c r="AEE9" s="139"/>
      <c r="AEF9" s="139"/>
      <c r="AEG9" s="139"/>
      <c r="AEH9" s="139"/>
      <c r="AEI9" s="139"/>
      <c r="AEJ9" s="139"/>
      <c r="AEK9" s="139"/>
      <c r="AEL9" s="139"/>
      <c r="AEM9" s="139"/>
      <c r="AEN9" s="139"/>
      <c r="AEO9" s="139"/>
      <c r="AEP9" s="139"/>
      <c r="AEQ9" s="139"/>
      <c r="AER9" s="139"/>
      <c r="AES9" s="139"/>
      <c r="AET9" s="139"/>
      <c r="AEU9" s="139"/>
      <c r="AEV9" s="139"/>
      <c r="AEW9" s="139"/>
      <c r="AEX9" s="139"/>
      <c r="AEY9" s="139"/>
      <c r="AEZ9" s="139"/>
      <c r="AFA9" s="139"/>
      <c r="AFB9" s="139"/>
      <c r="AFC9" s="139"/>
      <c r="AFD9" s="139"/>
      <c r="AFE9" s="139"/>
      <c r="AFF9" s="139"/>
      <c r="AFG9" s="139"/>
      <c r="AFH9" s="139"/>
      <c r="AFI9" s="139"/>
      <c r="AFJ9" s="139"/>
      <c r="AFK9" s="139"/>
      <c r="AFL9" s="139"/>
      <c r="AFM9" s="139"/>
      <c r="AFN9" s="139"/>
      <c r="AFO9" s="139"/>
      <c r="AFP9" s="139"/>
      <c r="AFQ9" s="139"/>
      <c r="AFR9" s="139"/>
      <c r="AFS9" s="139"/>
      <c r="AFT9" s="139"/>
      <c r="AFU9" s="139"/>
      <c r="AFV9" s="139"/>
      <c r="AFW9" s="139"/>
      <c r="AFX9" s="139"/>
      <c r="AFY9" s="139"/>
      <c r="AFZ9" s="139"/>
      <c r="AGA9" s="139"/>
      <c r="AGB9" s="139"/>
      <c r="AGC9" s="139"/>
      <c r="AGD9" s="139"/>
      <c r="AGE9" s="139"/>
      <c r="AGF9" s="139"/>
      <c r="AGG9" s="139"/>
      <c r="AGH9" s="139"/>
      <c r="AGI9" s="139"/>
      <c r="AGJ9" s="139"/>
      <c r="AGK9" s="139"/>
      <c r="AGL9" s="139"/>
      <c r="AGM9" s="139"/>
      <c r="AGN9" s="139"/>
      <c r="AGO9" s="139"/>
      <c r="AGP9" s="139"/>
      <c r="AGQ9" s="139"/>
      <c r="AGR9" s="139"/>
      <c r="AGS9" s="139"/>
      <c r="AGT9" s="139"/>
      <c r="AGU9" s="139"/>
      <c r="AGV9" s="139"/>
      <c r="AGW9" s="139"/>
      <c r="AGX9" s="139"/>
      <c r="AGY9" s="139"/>
      <c r="AGZ9" s="139"/>
      <c r="AHA9" s="139"/>
      <c r="AHB9" s="139"/>
      <c r="AHC9" s="139"/>
      <c r="AHD9" s="139"/>
      <c r="AHE9" s="139"/>
      <c r="AHF9" s="139"/>
      <c r="AHG9" s="139"/>
      <c r="AHH9" s="139"/>
      <c r="AHI9" s="139"/>
      <c r="AHJ9" s="139"/>
      <c r="AHK9" s="139"/>
      <c r="AHL9" s="139"/>
      <c r="AHM9" s="139"/>
      <c r="AHN9" s="139"/>
      <c r="AHO9" s="139"/>
      <c r="AHP9" s="139"/>
      <c r="AHQ9" s="139"/>
      <c r="AHR9" s="139"/>
      <c r="AHS9" s="139"/>
      <c r="AHT9" s="139"/>
      <c r="AHU9" s="139"/>
      <c r="AHV9" s="139"/>
      <c r="AHW9" s="139"/>
      <c r="AHX9" s="139"/>
      <c r="AHY9" s="139"/>
      <c r="AHZ9" s="139"/>
      <c r="AIA9" s="139"/>
      <c r="AIB9" s="139"/>
      <c r="AIC9" s="139"/>
      <c r="AID9" s="139"/>
      <c r="AIE9" s="139"/>
      <c r="AIF9" s="139"/>
      <c r="AIG9" s="139"/>
      <c r="AIH9" s="139"/>
      <c r="AII9" s="139"/>
      <c r="AIJ9" s="139"/>
      <c r="AIK9" s="139"/>
      <c r="AIL9" s="139"/>
      <c r="AIM9" s="139"/>
      <c r="AIN9" s="139"/>
      <c r="AIO9" s="139"/>
      <c r="AIP9" s="139"/>
      <c r="AIQ9" s="139"/>
      <c r="AIR9" s="139"/>
      <c r="AIS9" s="139"/>
      <c r="AIT9" s="139"/>
      <c r="AIU9" s="139"/>
      <c r="AIV9" s="139"/>
      <c r="AIW9" s="139"/>
      <c r="AIX9" s="139"/>
      <c r="AIY9" s="139"/>
      <c r="AIZ9" s="139"/>
      <c r="AJA9" s="139"/>
      <c r="AJB9" s="139"/>
      <c r="AJC9" s="139"/>
      <c r="AJD9" s="139"/>
      <c r="AJE9" s="139"/>
      <c r="AJF9" s="139"/>
      <c r="AJG9" s="139"/>
      <c r="AJH9" s="139"/>
      <c r="AJI9" s="139"/>
      <c r="AJJ9" s="139"/>
      <c r="AJK9" s="139"/>
      <c r="AJL9" s="139"/>
      <c r="AJM9" s="139"/>
      <c r="AJN9" s="139"/>
      <c r="AJO9" s="139"/>
      <c r="AJP9" s="139"/>
      <c r="AJQ9" s="139"/>
      <c r="AJR9" s="139"/>
      <c r="AJS9" s="139"/>
      <c r="AJT9" s="139"/>
      <c r="AJU9" s="139"/>
      <c r="AJV9" s="139"/>
      <c r="AJW9" s="139"/>
      <c r="AJX9" s="139"/>
      <c r="AJY9" s="139"/>
      <c r="AJZ9" s="139"/>
      <c r="AKA9" s="139"/>
      <c r="AKB9" s="139"/>
      <c r="AKC9" s="139"/>
      <c r="AKD9" s="139"/>
      <c r="AKE9" s="139"/>
      <c r="AKF9" s="139"/>
      <c r="AKG9" s="139"/>
      <c r="AKH9" s="139"/>
      <c r="AKI9" s="139"/>
      <c r="AKJ9" s="139"/>
      <c r="AKK9" s="139"/>
      <c r="AKL9" s="139"/>
      <c r="AKM9" s="139"/>
      <c r="AKN9" s="139"/>
      <c r="AKO9" s="139"/>
      <c r="AKP9" s="139"/>
      <c r="AKQ9" s="139"/>
      <c r="AKR9" s="139"/>
      <c r="AKS9" s="139"/>
      <c r="AKT9" s="139"/>
      <c r="AKU9" s="139"/>
      <c r="AKV9" s="139"/>
      <c r="AKW9" s="139"/>
      <c r="AKX9" s="139"/>
      <c r="AKY9" s="139"/>
      <c r="AKZ9" s="139"/>
      <c r="ALA9" s="139"/>
      <c r="ALB9" s="139"/>
      <c r="ALC9" s="139"/>
      <c r="ALD9" s="139"/>
      <c r="ALE9" s="139"/>
      <c r="ALF9" s="139"/>
      <c r="ALG9" s="139"/>
      <c r="ALH9" s="139"/>
      <c r="ALI9" s="139"/>
      <c r="ALJ9" s="139"/>
      <c r="ALK9" s="139"/>
      <c r="ALL9" s="139"/>
      <c r="ALM9" s="139"/>
      <c r="ALN9" s="139"/>
      <c r="ALO9" s="139"/>
      <c r="ALP9" s="139"/>
      <c r="ALQ9" s="139"/>
      <c r="ALR9" s="139"/>
      <c r="ALS9" s="139"/>
      <c r="ALT9" s="139"/>
      <c r="ALU9" s="139"/>
      <c r="ALV9" s="139"/>
      <c r="ALW9" s="139"/>
      <c r="ALX9" s="139"/>
      <c r="ALY9" s="139"/>
      <c r="ALZ9" s="139"/>
      <c r="AMA9" s="139"/>
      <c r="AMB9" s="139"/>
      <c r="AMC9" s="139"/>
      <c r="AMD9" s="139"/>
      <c r="AME9" s="139"/>
    </row>
    <row r="10" spans="1:1024" s="140" customFormat="1" ht="15.75" thickBot="1" x14ac:dyDescent="0.3">
      <c r="A10" s="153" t="s">
        <v>8</v>
      </c>
      <c r="B10" s="154">
        <f ca="1">B9*B12+B15</f>
        <v>0</v>
      </c>
      <c r="C10" s="154">
        <f ca="1">C9*C12+C15</f>
        <v>0</v>
      </c>
      <c r="D10" s="154">
        <f ca="1">D9*D12+D15</f>
        <v>33.400000000000006</v>
      </c>
      <c r="E10" s="154">
        <f ca="1">E9*E12+E15</f>
        <v>79.2</v>
      </c>
      <c r="F10" s="154">
        <f t="shared" ref="F10:J10" ca="1" si="12">F9*F12+F15</f>
        <v>101070</v>
      </c>
      <c r="G10" s="154">
        <f t="shared" ca="1" si="12"/>
        <v>16</v>
      </c>
      <c r="H10" s="154">
        <f t="shared" ca="1" si="12"/>
        <v>1</v>
      </c>
      <c r="I10" s="154">
        <f t="shared" ca="1" si="12"/>
        <v>27</v>
      </c>
      <c r="J10" s="154">
        <f t="shared" ca="1" si="12"/>
        <v>0</v>
      </c>
      <c r="K10" s="155" t="s">
        <v>9</v>
      </c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9"/>
      <c r="EX10" s="139"/>
      <c r="EY10" s="139"/>
      <c r="EZ10" s="139"/>
      <c r="FA10" s="139"/>
      <c r="FB10" s="139"/>
      <c r="FC10" s="139"/>
      <c r="FD10" s="139"/>
      <c r="FE10" s="139"/>
      <c r="FF10" s="139"/>
      <c r="FG10" s="139"/>
      <c r="FH10" s="139"/>
      <c r="FI10" s="139"/>
      <c r="FJ10" s="139"/>
      <c r="FK10" s="139"/>
      <c r="FL10" s="139"/>
      <c r="FM10" s="139"/>
      <c r="FN10" s="139"/>
      <c r="FO10" s="139"/>
      <c r="FP10" s="139"/>
      <c r="FQ10" s="139"/>
      <c r="FR10" s="139"/>
      <c r="FS10" s="139"/>
      <c r="FT10" s="139"/>
      <c r="FU10" s="139"/>
      <c r="FV10" s="139"/>
      <c r="FW10" s="139"/>
      <c r="FX10" s="139"/>
      <c r="FY10" s="139"/>
      <c r="FZ10" s="139"/>
      <c r="GA10" s="139"/>
      <c r="GB10" s="139"/>
      <c r="GC10" s="139"/>
      <c r="GD10" s="139"/>
      <c r="GE10" s="139"/>
      <c r="GF10" s="139"/>
      <c r="GG10" s="139"/>
      <c r="GH10" s="139"/>
      <c r="GI10" s="139"/>
      <c r="GJ10" s="139"/>
      <c r="GK10" s="139"/>
      <c r="GL10" s="139"/>
      <c r="GM10" s="139"/>
      <c r="GN10" s="139"/>
      <c r="GO10" s="139"/>
      <c r="GP10" s="139"/>
      <c r="GQ10" s="139"/>
      <c r="GR10" s="139"/>
      <c r="GS10" s="139"/>
      <c r="GT10" s="139"/>
      <c r="GU10" s="139"/>
      <c r="GV10" s="139"/>
      <c r="GW10" s="139"/>
      <c r="GX10" s="139"/>
      <c r="GY10" s="139"/>
      <c r="GZ10" s="139"/>
      <c r="HA10" s="139"/>
      <c r="HB10" s="139"/>
      <c r="HC10" s="139"/>
      <c r="HD10" s="139"/>
      <c r="HE10" s="139"/>
      <c r="HF10" s="139"/>
      <c r="HG10" s="139"/>
      <c r="HH10" s="139"/>
      <c r="HI10" s="139"/>
      <c r="HJ10" s="139"/>
      <c r="HK10" s="139"/>
      <c r="HL10" s="139"/>
      <c r="HM10" s="139"/>
      <c r="HN10" s="139"/>
      <c r="HO10" s="139"/>
      <c r="HP10" s="139"/>
      <c r="HQ10" s="139"/>
      <c r="HR10" s="139"/>
      <c r="HS10" s="139"/>
      <c r="HT10" s="139"/>
      <c r="HU10" s="139"/>
      <c r="HV10" s="139"/>
      <c r="HW10" s="139"/>
      <c r="HX10" s="139"/>
      <c r="HY10" s="139"/>
      <c r="HZ10" s="139"/>
      <c r="IA10" s="139"/>
      <c r="IB10" s="139"/>
      <c r="IC10" s="139"/>
      <c r="ID10" s="139"/>
      <c r="IE10" s="139"/>
      <c r="IF10" s="139"/>
      <c r="IG10" s="139"/>
      <c r="IH10" s="139"/>
      <c r="II10" s="139"/>
      <c r="IJ10" s="139"/>
      <c r="IK10" s="139"/>
      <c r="IL10" s="139"/>
      <c r="IM10" s="139"/>
      <c r="IN10" s="139"/>
      <c r="IO10" s="139"/>
      <c r="IP10" s="139"/>
      <c r="IQ10" s="139"/>
      <c r="IR10" s="139"/>
      <c r="IS10" s="139"/>
      <c r="IT10" s="139"/>
      <c r="IU10" s="139"/>
      <c r="IV10" s="139"/>
      <c r="IW10" s="139"/>
      <c r="IX10" s="139"/>
      <c r="IY10" s="139"/>
      <c r="IZ10" s="139"/>
      <c r="JA10" s="139"/>
      <c r="JB10" s="139"/>
      <c r="JC10" s="139"/>
      <c r="JD10" s="139"/>
      <c r="JE10" s="139"/>
      <c r="JF10" s="139"/>
      <c r="JG10" s="139"/>
      <c r="JH10" s="139"/>
      <c r="JI10" s="139"/>
      <c r="JJ10" s="139"/>
      <c r="JK10" s="139"/>
      <c r="JL10" s="139"/>
      <c r="JM10" s="139"/>
      <c r="JN10" s="139"/>
      <c r="JO10" s="139"/>
      <c r="JP10" s="139"/>
      <c r="JQ10" s="139"/>
      <c r="JR10" s="139"/>
      <c r="JS10" s="139"/>
      <c r="JT10" s="139"/>
      <c r="JU10" s="139"/>
      <c r="JV10" s="139"/>
      <c r="JW10" s="139"/>
      <c r="JX10" s="139"/>
      <c r="JY10" s="139"/>
      <c r="JZ10" s="139"/>
      <c r="KA10" s="139"/>
      <c r="KB10" s="139"/>
      <c r="KC10" s="139"/>
      <c r="KD10" s="139"/>
      <c r="KE10" s="139"/>
      <c r="KF10" s="139"/>
      <c r="KG10" s="139"/>
      <c r="KH10" s="139"/>
      <c r="KI10" s="139"/>
      <c r="KJ10" s="139"/>
      <c r="KK10" s="139"/>
      <c r="KL10" s="139"/>
      <c r="KM10" s="139"/>
      <c r="KN10" s="139"/>
      <c r="KO10" s="139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39"/>
      <c r="LK10" s="139"/>
      <c r="LL10" s="139"/>
      <c r="LM10" s="139"/>
      <c r="LN10" s="139"/>
      <c r="LO10" s="139"/>
      <c r="LP10" s="139"/>
      <c r="LQ10" s="139"/>
      <c r="LR10" s="139"/>
      <c r="LS10" s="139"/>
      <c r="LT10" s="139"/>
      <c r="LU10" s="139"/>
      <c r="LV10" s="139"/>
      <c r="LW10" s="139"/>
      <c r="LX10" s="139"/>
      <c r="LY10" s="139"/>
      <c r="LZ10" s="139"/>
      <c r="MA10" s="139"/>
      <c r="MB10" s="139"/>
      <c r="MC10" s="139"/>
      <c r="MD10" s="139"/>
      <c r="ME10" s="139"/>
      <c r="MF10" s="139"/>
      <c r="MG10" s="139"/>
      <c r="MH10" s="139"/>
      <c r="MI10" s="139"/>
      <c r="MJ10" s="139"/>
      <c r="MK10" s="139"/>
      <c r="ML10" s="139"/>
      <c r="MM10" s="139"/>
      <c r="MN10" s="139"/>
      <c r="MO10" s="139"/>
      <c r="MP10" s="139"/>
      <c r="MQ10" s="139"/>
      <c r="MR10" s="139"/>
      <c r="MS10" s="139"/>
      <c r="MT10" s="139"/>
      <c r="MU10" s="139"/>
      <c r="MV10" s="139"/>
      <c r="MW10" s="139"/>
      <c r="MX10" s="139"/>
      <c r="MY10" s="139"/>
      <c r="MZ10" s="139"/>
      <c r="NA10" s="139"/>
      <c r="NB10" s="139"/>
      <c r="NC10" s="139"/>
      <c r="ND10" s="139"/>
      <c r="NE10" s="139"/>
      <c r="NF10" s="139"/>
      <c r="NG10" s="139"/>
      <c r="NH10" s="139"/>
      <c r="NI10" s="139"/>
      <c r="NJ10" s="139"/>
      <c r="NK10" s="139"/>
      <c r="NL10" s="139"/>
      <c r="NM10" s="139"/>
      <c r="NN10" s="139"/>
      <c r="NO10" s="139"/>
      <c r="NP10" s="139"/>
      <c r="NQ10" s="139"/>
      <c r="NR10" s="139"/>
      <c r="NS10" s="139"/>
      <c r="NT10" s="139"/>
      <c r="NU10" s="139"/>
      <c r="NV10" s="139"/>
      <c r="NW10" s="139"/>
      <c r="NX10" s="139"/>
      <c r="NY10" s="139"/>
      <c r="NZ10" s="139"/>
      <c r="OA10" s="139"/>
      <c r="OB10" s="139"/>
      <c r="OC10" s="139"/>
      <c r="OD10" s="139"/>
      <c r="OE10" s="139"/>
      <c r="OF10" s="139"/>
      <c r="OG10" s="139"/>
      <c r="OH10" s="139"/>
      <c r="OI10" s="139"/>
      <c r="OJ10" s="139"/>
      <c r="OK10" s="139"/>
      <c r="OL10" s="139"/>
      <c r="OM10" s="139"/>
      <c r="ON10" s="139"/>
      <c r="OO10" s="139"/>
      <c r="OP10" s="139"/>
      <c r="OQ10" s="139"/>
      <c r="OR10" s="139"/>
      <c r="OS10" s="139"/>
      <c r="OT10" s="139"/>
      <c r="OU10" s="139"/>
      <c r="OV10" s="139"/>
      <c r="OW10" s="139"/>
      <c r="OX10" s="139"/>
      <c r="OY10" s="139"/>
      <c r="OZ10" s="139"/>
      <c r="PA10" s="139"/>
      <c r="PB10" s="139"/>
      <c r="PC10" s="139"/>
      <c r="PD10" s="139"/>
      <c r="PE10" s="139"/>
      <c r="PF10" s="139"/>
      <c r="PG10" s="139"/>
      <c r="PH10" s="139"/>
      <c r="PI10" s="139"/>
      <c r="PJ10" s="139"/>
      <c r="PK10" s="139"/>
      <c r="PL10" s="139"/>
      <c r="PM10" s="139"/>
      <c r="PN10" s="139"/>
      <c r="PO10" s="139"/>
      <c r="PP10" s="139"/>
      <c r="PQ10" s="139"/>
      <c r="PR10" s="139"/>
      <c r="PS10" s="139"/>
      <c r="PT10" s="139"/>
      <c r="PU10" s="139"/>
      <c r="PV10" s="139"/>
      <c r="PW10" s="139"/>
      <c r="PX10" s="139"/>
      <c r="PY10" s="139"/>
      <c r="PZ10" s="139"/>
      <c r="QA10" s="139"/>
      <c r="QB10" s="139"/>
      <c r="QC10" s="139"/>
      <c r="QD10" s="139"/>
      <c r="QE10" s="139"/>
      <c r="QF10" s="139"/>
      <c r="QG10" s="139"/>
      <c r="QH10" s="139"/>
      <c r="QI10" s="139"/>
      <c r="QJ10" s="139"/>
      <c r="QK10" s="139"/>
      <c r="QL10" s="139"/>
      <c r="QM10" s="139"/>
      <c r="QN10" s="139"/>
      <c r="QO10" s="139"/>
      <c r="QP10" s="139"/>
      <c r="QQ10" s="139"/>
      <c r="QR10" s="139"/>
      <c r="QS10" s="139"/>
      <c r="QT10" s="139"/>
      <c r="QU10" s="139"/>
      <c r="QV10" s="139"/>
      <c r="QW10" s="139"/>
      <c r="QX10" s="139"/>
      <c r="QY10" s="139"/>
      <c r="QZ10" s="139"/>
      <c r="RA10" s="139"/>
      <c r="RB10" s="139"/>
      <c r="RC10" s="139"/>
      <c r="RD10" s="139"/>
      <c r="RE10" s="139"/>
      <c r="RF10" s="139"/>
      <c r="RG10" s="139"/>
      <c r="RH10" s="139"/>
      <c r="RI10" s="139"/>
      <c r="RJ10" s="139"/>
      <c r="RK10" s="139"/>
      <c r="RL10" s="139"/>
      <c r="RM10" s="139"/>
      <c r="RN10" s="139"/>
      <c r="RO10" s="139"/>
      <c r="RP10" s="139"/>
      <c r="RQ10" s="139"/>
      <c r="RR10" s="139"/>
      <c r="RS10" s="139"/>
      <c r="RT10" s="139"/>
      <c r="RU10" s="139"/>
      <c r="RV10" s="139"/>
      <c r="RW10" s="139"/>
      <c r="RX10" s="139"/>
      <c r="RY10" s="139"/>
      <c r="RZ10" s="139"/>
      <c r="SA10" s="139"/>
      <c r="SB10" s="139"/>
      <c r="SC10" s="139"/>
      <c r="SD10" s="139"/>
      <c r="SE10" s="139"/>
      <c r="SF10" s="139"/>
      <c r="SG10" s="139"/>
      <c r="SH10" s="139"/>
      <c r="SI10" s="139"/>
      <c r="SJ10" s="139"/>
      <c r="SK10" s="139"/>
      <c r="SL10" s="139"/>
      <c r="SM10" s="139"/>
      <c r="SN10" s="139"/>
      <c r="SO10" s="139"/>
      <c r="SP10" s="139"/>
      <c r="SQ10" s="139"/>
      <c r="SR10" s="139"/>
      <c r="SS10" s="139"/>
      <c r="ST10" s="139"/>
      <c r="SU10" s="139"/>
      <c r="SV10" s="139"/>
      <c r="SW10" s="139"/>
      <c r="SX10" s="139"/>
      <c r="SY10" s="139"/>
      <c r="SZ10" s="139"/>
      <c r="TA10" s="139"/>
      <c r="TB10" s="139"/>
      <c r="TC10" s="139"/>
      <c r="TD10" s="139"/>
      <c r="TE10" s="139"/>
      <c r="TF10" s="139"/>
      <c r="TG10" s="139"/>
      <c r="TH10" s="139"/>
      <c r="TI10" s="139"/>
      <c r="TJ10" s="139"/>
      <c r="TK10" s="139"/>
      <c r="TL10" s="139"/>
      <c r="TM10" s="139"/>
      <c r="TN10" s="139"/>
      <c r="TO10" s="139"/>
      <c r="TP10" s="139"/>
      <c r="TQ10" s="139"/>
      <c r="TR10" s="139"/>
      <c r="TS10" s="139"/>
      <c r="TT10" s="139"/>
      <c r="TU10" s="139"/>
      <c r="TV10" s="139"/>
      <c r="TW10" s="139"/>
      <c r="TX10" s="139"/>
      <c r="TY10" s="139"/>
      <c r="TZ10" s="139"/>
      <c r="UA10" s="139"/>
      <c r="UB10" s="139"/>
      <c r="UC10" s="139"/>
      <c r="UD10" s="139"/>
      <c r="UE10" s="139"/>
      <c r="UF10" s="139"/>
      <c r="UG10" s="139"/>
      <c r="UH10" s="139"/>
      <c r="UI10" s="139"/>
      <c r="UJ10" s="139"/>
      <c r="UK10" s="139"/>
      <c r="UL10" s="139"/>
      <c r="UM10" s="139"/>
      <c r="UN10" s="139"/>
      <c r="UO10" s="139"/>
      <c r="UP10" s="139"/>
      <c r="UQ10" s="139"/>
      <c r="UR10" s="139"/>
      <c r="US10" s="139"/>
      <c r="UT10" s="139"/>
      <c r="UU10" s="139"/>
      <c r="UV10" s="139"/>
      <c r="UW10" s="139"/>
      <c r="UX10" s="139"/>
      <c r="UY10" s="139"/>
      <c r="UZ10" s="139"/>
      <c r="VA10" s="139"/>
      <c r="VB10" s="139"/>
      <c r="VC10" s="139"/>
      <c r="VD10" s="139"/>
      <c r="VE10" s="139"/>
      <c r="VF10" s="139"/>
      <c r="VG10" s="139"/>
      <c r="VH10" s="139"/>
      <c r="VI10" s="139"/>
      <c r="VJ10" s="139"/>
      <c r="VK10" s="139"/>
      <c r="VL10" s="139"/>
      <c r="VM10" s="139"/>
      <c r="VN10" s="139"/>
      <c r="VO10" s="139"/>
      <c r="VP10" s="139"/>
      <c r="VQ10" s="139"/>
      <c r="VR10" s="139"/>
      <c r="VS10" s="139"/>
      <c r="VT10" s="139"/>
      <c r="VU10" s="139"/>
      <c r="VV10" s="139"/>
      <c r="VW10" s="139"/>
      <c r="VX10" s="139"/>
      <c r="VY10" s="139"/>
      <c r="VZ10" s="139"/>
      <c r="WA10" s="139"/>
      <c r="WB10" s="139"/>
      <c r="WC10" s="139"/>
      <c r="WD10" s="139"/>
      <c r="WE10" s="139"/>
      <c r="WF10" s="139"/>
      <c r="WG10" s="139"/>
      <c r="WH10" s="139"/>
      <c r="WI10" s="139"/>
      <c r="WJ10" s="139"/>
      <c r="WK10" s="139"/>
      <c r="WL10" s="139"/>
      <c r="WM10" s="139"/>
      <c r="WN10" s="139"/>
      <c r="WO10" s="139"/>
      <c r="WP10" s="139"/>
      <c r="WQ10" s="139"/>
      <c r="WR10" s="139"/>
      <c r="WS10" s="139"/>
      <c r="WT10" s="139"/>
      <c r="WU10" s="139"/>
      <c r="WV10" s="139"/>
      <c r="WW10" s="139"/>
      <c r="WX10" s="139"/>
      <c r="WY10" s="139"/>
      <c r="WZ10" s="139"/>
      <c r="XA10" s="139"/>
      <c r="XB10" s="139"/>
      <c r="XC10" s="139"/>
      <c r="XD10" s="139"/>
      <c r="XE10" s="139"/>
      <c r="XF10" s="139"/>
      <c r="XG10" s="139"/>
      <c r="XH10" s="139"/>
      <c r="XI10" s="139"/>
      <c r="XJ10" s="139"/>
      <c r="XK10" s="139"/>
      <c r="XL10" s="139"/>
      <c r="XM10" s="139"/>
      <c r="XN10" s="139"/>
      <c r="XO10" s="139"/>
      <c r="XP10" s="139"/>
      <c r="XQ10" s="139"/>
      <c r="XR10" s="139"/>
      <c r="XS10" s="139"/>
      <c r="XT10" s="139"/>
      <c r="XU10" s="139"/>
      <c r="XV10" s="139"/>
      <c r="XW10" s="139"/>
      <c r="XX10" s="139"/>
      <c r="XY10" s="139"/>
      <c r="XZ10" s="139"/>
      <c r="YA10" s="139"/>
      <c r="YB10" s="139"/>
      <c r="YC10" s="139"/>
      <c r="YD10" s="139"/>
      <c r="YE10" s="139"/>
      <c r="YF10" s="139"/>
      <c r="YG10" s="139"/>
      <c r="YH10" s="139"/>
      <c r="YI10" s="139"/>
      <c r="YJ10" s="139"/>
      <c r="YK10" s="139"/>
      <c r="YL10" s="139"/>
      <c r="YM10" s="139"/>
      <c r="YN10" s="139"/>
      <c r="YO10" s="139"/>
      <c r="YP10" s="139"/>
      <c r="YQ10" s="139"/>
      <c r="YR10" s="139"/>
      <c r="YS10" s="139"/>
      <c r="YT10" s="139"/>
      <c r="YU10" s="139"/>
      <c r="YV10" s="139"/>
      <c r="YW10" s="139"/>
      <c r="YX10" s="139"/>
      <c r="YY10" s="139"/>
      <c r="YZ10" s="139"/>
      <c r="ZA10" s="139"/>
      <c r="ZB10" s="139"/>
      <c r="ZC10" s="139"/>
      <c r="ZD10" s="139"/>
      <c r="ZE10" s="139"/>
      <c r="ZF10" s="139"/>
      <c r="ZG10" s="139"/>
      <c r="ZH10" s="139"/>
      <c r="ZI10" s="139"/>
      <c r="ZJ10" s="139"/>
      <c r="ZK10" s="139"/>
      <c r="ZL10" s="139"/>
      <c r="ZM10" s="139"/>
      <c r="ZN10" s="139"/>
      <c r="ZO10" s="139"/>
      <c r="ZP10" s="139"/>
      <c r="ZQ10" s="139"/>
      <c r="ZR10" s="139"/>
      <c r="ZS10" s="139"/>
      <c r="ZT10" s="139"/>
      <c r="ZU10" s="139"/>
      <c r="ZV10" s="139"/>
      <c r="ZW10" s="139"/>
      <c r="ZX10" s="139"/>
      <c r="ZY10" s="139"/>
      <c r="ZZ10" s="139"/>
      <c r="AAA10" s="139"/>
      <c r="AAB10" s="139"/>
      <c r="AAC10" s="139"/>
      <c r="AAD10" s="139"/>
      <c r="AAE10" s="139"/>
      <c r="AAF10" s="139"/>
      <c r="AAG10" s="139"/>
      <c r="AAH10" s="139"/>
      <c r="AAI10" s="139"/>
      <c r="AAJ10" s="139"/>
      <c r="AAK10" s="139"/>
      <c r="AAL10" s="139"/>
      <c r="AAM10" s="139"/>
      <c r="AAN10" s="139"/>
      <c r="AAO10" s="139"/>
      <c r="AAP10" s="139"/>
      <c r="AAQ10" s="139"/>
      <c r="AAR10" s="139"/>
      <c r="AAS10" s="139"/>
      <c r="AAT10" s="139"/>
      <c r="AAU10" s="139"/>
      <c r="AAV10" s="139"/>
      <c r="AAW10" s="139"/>
      <c r="AAX10" s="139"/>
      <c r="AAY10" s="139"/>
      <c r="AAZ10" s="139"/>
      <c r="ABA10" s="139"/>
      <c r="ABB10" s="139"/>
      <c r="ABC10" s="139"/>
      <c r="ABD10" s="139"/>
      <c r="ABE10" s="139"/>
      <c r="ABF10" s="139"/>
      <c r="ABG10" s="139"/>
      <c r="ABH10" s="139"/>
      <c r="ABI10" s="139"/>
      <c r="ABJ10" s="139"/>
      <c r="ABK10" s="139"/>
      <c r="ABL10" s="139"/>
      <c r="ABM10" s="139"/>
      <c r="ABN10" s="139"/>
      <c r="ABO10" s="139"/>
      <c r="ABP10" s="139"/>
      <c r="ABQ10" s="139"/>
      <c r="ABR10" s="139"/>
      <c r="ABS10" s="139"/>
      <c r="ABT10" s="139"/>
      <c r="ABU10" s="139"/>
      <c r="ABV10" s="139"/>
      <c r="ABW10" s="139"/>
      <c r="ABX10" s="139"/>
      <c r="ABY10" s="139"/>
      <c r="ABZ10" s="139"/>
      <c r="ACA10" s="139"/>
      <c r="ACB10" s="139"/>
      <c r="ACC10" s="139"/>
      <c r="ACD10" s="139"/>
      <c r="ACE10" s="139"/>
      <c r="ACF10" s="139"/>
      <c r="ACG10" s="139"/>
      <c r="ACH10" s="139"/>
      <c r="ACI10" s="139"/>
      <c r="ACJ10" s="139"/>
      <c r="ACK10" s="139"/>
      <c r="ACL10" s="139"/>
      <c r="ACM10" s="139"/>
      <c r="ACN10" s="139"/>
      <c r="ACO10" s="139"/>
      <c r="ACP10" s="139"/>
      <c r="ACQ10" s="139"/>
      <c r="ACR10" s="139"/>
      <c r="ACS10" s="139"/>
      <c r="ACT10" s="139"/>
      <c r="ACU10" s="139"/>
      <c r="ACV10" s="139"/>
      <c r="ACW10" s="139"/>
      <c r="ACX10" s="139"/>
      <c r="ACY10" s="139"/>
      <c r="ACZ10" s="139"/>
      <c r="ADA10" s="139"/>
      <c r="ADB10" s="139"/>
      <c r="ADC10" s="139"/>
      <c r="ADD10" s="139"/>
      <c r="ADE10" s="139"/>
      <c r="ADF10" s="139"/>
      <c r="ADG10" s="139"/>
      <c r="ADH10" s="139"/>
      <c r="ADI10" s="139"/>
      <c r="ADJ10" s="139"/>
      <c r="ADK10" s="139"/>
      <c r="ADL10" s="139"/>
      <c r="ADM10" s="139"/>
      <c r="ADN10" s="139"/>
      <c r="ADO10" s="139"/>
      <c r="ADP10" s="139"/>
      <c r="ADQ10" s="139"/>
      <c r="ADR10" s="139"/>
      <c r="ADS10" s="139"/>
      <c r="ADT10" s="139"/>
      <c r="ADU10" s="139"/>
      <c r="ADV10" s="139"/>
      <c r="ADW10" s="139"/>
      <c r="ADX10" s="139"/>
      <c r="ADY10" s="139"/>
      <c r="ADZ10" s="139"/>
      <c r="AEA10" s="139"/>
      <c r="AEB10" s="139"/>
      <c r="AEC10" s="139"/>
      <c r="AED10" s="139"/>
      <c r="AEE10" s="139"/>
      <c r="AEF10" s="139"/>
      <c r="AEG10" s="139"/>
      <c r="AEH10" s="139"/>
      <c r="AEI10" s="139"/>
      <c r="AEJ10" s="139"/>
      <c r="AEK10" s="139"/>
      <c r="AEL10" s="139"/>
      <c r="AEM10" s="139"/>
      <c r="AEN10" s="139"/>
      <c r="AEO10" s="139"/>
      <c r="AEP10" s="139"/>
      <c r="AEQ10" s="139"/>
      <c r="AER10" s="139"/>
      <c r="AES10" s="139"/>
      <c r="AET10" s="139"/>
      <c r="AEU10" s="139"/>
      <c r="AEV10" s="139"/>
      <c r="AEW10" s="139"/>
      <c r="AEX10" s="139"/>
      <c r="AEY10" s="139"/>
      <c r="AEZ10" s="139"/>
      <c r="AFA10" s="139"/>
      <c r="AFB10" s="139"/>
      <c r="AFC10" s="139"/>
      <c r="AFD10" s="139"/>
      <c r="AFE10" s="139"/>
      <c r="AFF10" s="139"/>
      <c r="AFG10" s="139"/>
      <c r="AFH10" s="139"/>
      <c r="AFI10" s="139"/>
      <c r="AFJ10" s="139"/>
      <c r="AFK10" s="139"/>
      <c r="AFL10" s="139"/>
      <c r="AFM10" s="139"/>
      <c r="AFN10" s="139"/>
      <c r="AFO10" s="139"/>
      <c r="AFP10" s="139"/>
      <c r="AFQ10" s="139"/>
      <c r="AFR10" s="139"/>
      <c r="AFS10" s="139"/>
      <c r="AFT10" s="139"/>
      <c r="AFU10" s="139"/>
      <c r="AFV10" s="139"/>
      <c r="AFW10" s="139"/>
      <c r="AFX10" s="139"/>
      <c r="AFY10" s="139"/>
      <c r="AFZ10" s="139"/>
      <c r="AGA10" s="139"/>
      <c r="AGB10" s="139"/>
      <c r="AGC10" s="139"/>
      <c r="AGD10" s="139"/>
      <c r="AGE10" s="139"/>
      <c r="AGF10" s="139"/>
      <c r="AGG10" s="139"/>
      <c r="AGH10" s="139"/>
      <c r="AGI10" s="139"/>
      <c r="AGJ10" s="139"/>
      <c r="AGK10" s="139"/>
      <c r="AGL10" s="139"/>
      <c r="AGM10" s="139"/>
      <c r="AGN10" s="139"/>
      <c r="AGO10" s="139"/>
      <c r="AGP10" s="139"/>
      <c r="AGQ10" s="139"/>
      <c r="AGR10" s="139"/>
      <c r="AGS10" s="139"/>
      <c r="AGT10" s="139"/>
      <c r="AGU10" s="139"/>
      <c r="AGV10" s="139"/>
      <c r="AGW10" s="139"/>
      <c r="AGX10" s="139"/>
      <c r="AGY10" s="139"/>
      <c r="AGZ10" s="139"/>
      <c r="AHA10" s="139"/>
      <c r="AHB10" s="139"/>
      <c r="AHC10" s="139"/>
      <c r="AHD10" s="139"/>
      <c r="AHE10" s="139"/>
      <c r="AHF10" s="139"/>
      <c r="AHG10" s="139"/>
      <c r="AHH10" s="139"/>
      <c r="AHI10" s="139"/>
      <c r="AHJ10" s="139"/>
      <c r="AHK10" s="139"/>
      <c r="AHL10" s="139"/>
      <c r="AHM10" s="139"/>
      <c r="AHN10" s="139"/>
      <c r="AHO10" s="139"/>
      <c r="AHP10" s="139"/>
      <c r="AHQ10" s="139"/>
      <c r="AHR10" s="139"/>
      <c r="AHS10" s="139"/>
      <c r="AHT10" s="139"/>
      <c r="AHU10" s="139"/>
      <c r="AHV10" s="139"/>
      <c r="AHW10" s="139"/>
      <c r="AHX10" s="139"/>
      <c r="AHY10" s="139"/>
      <c r="AHZ10" s="139"/>
      <c r="AIA10" s="139"/>
      <c r="AIB10" s="139"/>
      <c r="AIC10" s="139"/>
      <c r="AID10" s="139"/>
      <c r="AIE10" s="139"/>
      <c r="AIF10" s="139"/>
      <c r="AIG10" s="139"/>
      <c r="AIH10" s="139"/>
      <c r="AII10" s="139"/>
      <c r="AIJ10" s="139"/>
      <c r="AIK10" s="139"/>
      <c r="AIL10" s="139"/>
      <c r="AIM10" s="139"/>
      <c r="AIN10" s="139"/>
      <c r="AIO10" s="139"/>
      <c r="AIP10" s="139"/>
      <c r="AIQ10" s="139"/>
      <c r="AIR10" s="139"/>
      <c r="AIS10" s="139"/>
      <c r="AIT10" s="139"/>
      <c r="AIU10" s="139"/>
      <c r="AIV10" s="139"/>
      <c r="AIW10" s="139"/>
      <c r="AIX10" s="139"/>
      <c r="AIY10" s="139"/>
      <c r="AIZ10" s="139"/>
      <c r="AJA10" s="139"/>
      <c r="AJB10" s="139"/>
      <c r="AJC10" s="139"/>
      <c r="AJD10" s="139"/>
      <c r="AJE10" s="139"/>
      <c r="AJF10" s="139"/>
      <c r="AJG10" s="139"/>
      <c r="AJH10" s="139"/>
      <c r="AJI10" s="139"/>
      <c r="AJJ10" s="139"/>
      <c r="AJK10" s="139"/>
      <c r="AJL10" s="139"/>
      <c r="AJM10" s="139"/>
      <c r="AJN10" s="139"/>
      <c r="AJO10" s="139"/>
      <c r="AJP10" s="139"/>
      <c r="AJQ10" s="139"/>
      <c r="AJR10" s="139"/>
      <c r="AJS10" s="139"/>
      <c r="AJT10" s="139"/>
      <c r="AJU10" s="139"/>
      <c r="AJV10" s="139"/>
      <c r="AJW10" s="139"/>
      <c r="AJX10" s="139"/>
      <c r="AJY10" s="139"/>
      <c r="AJZ10" s="139"/>
      <c r="AKA10" s="139"/>
      <c r="AKB10" s="139"/>
      <c r="AKC10" s="139"/>
      <c r="AKD10" s="139"/>
      <c r="AKE10" s="139"/>
      <c r="AKF10" s="139"/>
      <c r="AKG10" s="139"/>
      <c r="AKH10" s="139"/>
      <c r="AKI10" s="139"/>
      <c r="AKJ10" s="139"/>
      <c r="AKK10" s="139"/>
      <c r="AKL10" s="139"/>
      <c r="AKM10" s="139"/>
      <c r="AKN10" s="139"/>
      <c r="AKO10" s="139"/>
      <c r="AKP10" s="139"/>
      <c r="AKQ10" s="139"/>
      <c r="AKR10" s="139"/>
      <c r="AKS10" s="139"/>
      <c r="AKT10" s="139"/>
      <c r="AKU10" s="139"/>
      <c r="AKV10" s="139"/>
      <c r="AKW10" s="139"/>
      <c r="AKX10" s="139"/>
      <c r="AKY10" s="139"/>
      <c r="AKZ10" s="139"/>
      <c r="ALA10" s="139"/>
      <c r="ALB10" s="139"/>
      <c r="ALC10" s="139"/>
      <c r="ALD10" s="139"/>
      <c r="ALE10" s="139"/>
      <c r="ALF10" s="139"/>
      <c r="ALG10" s="139"/>
      <c r="ALH10" s="139"/>
      <c r="ALI10" s="139"/>
      <c r="ALJ10" s="139"/>
      <c r="ALK10" s="139"/>
      <c r="ALL10" s="139"/>
      <c r="ALM10" s="139"/>
      <c r="ALN10" s="139"/>
      <c r="ALO10" s="139"/>
      <c r="ALP10" s="139"/>
      <c r="ALQ10" s="139"/>
      <c r="ALR10" s="139"/>
      <c r="ALS10" s="139"/>
      <c r="ALT10" s="139"/>
      <c r="ALU10" s="139"/>
      <c r="ALV10" s="139"/>
      <c r="ALW10" s="139"/>
      <c r="ALX10" s="139"/>
      <c r="ALY10" s="139"/>
      <c r="ALZ10" s="139"/>
      <c r="AMA10" s="139"/>
      <c r="AMB10" s="139"/>
      <c r="AMC10" s="139"/>
      <c r="AMD10" s="139"/>
      <c r="AME10" s="139"/>
    </row>
    <row r="11" spans="1:1024" s="140" customFormat="1" ht="45" x14ac:dyDescent="0.25">
      <c r="A11" s="156" t="s">
        <v>10</v>
      </c>
      <c r="B11" s="157" t="s">
        <v>11</v>
      </c>
      <c r="C11" s="157" t="s">
        <v>87</v>
      </c>
      <c r="D11" s="157" t="s">
        <v>87</v>
      </c>
      <c r="E11" s="157" t="s">
        <v>79</v>
      </c>
      <c r="F11" s="157" t="s">
        <v>80</v>
      </c>
      <c r="G11" s="157" t="s">
        <v>81</v>
      </c>
      <c r="H11" s="93" t="s">
        <v>93</v>
      </c>
      <c r="I11" s="158" t="s">
        <v>128</v>
      </c>
      <c r="J11" s="157"/>
      <c r="K11" s="15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</row>
    <row r="12" spans="1:1024" s="140" customFormat="1" x14ac:dyDescent="0.25">
      <c r="A12" s="160" t="s">
        <v>15</v>
      </c>
      <c r="B12" s="100">
        <v>1</v>
      </c>
      <c r="C12" s="100">
        <v>1</v>
      </c>
      <c r="D12" s="100">
        <v>0.05</v>
      </c>
      <c r="E12" s="100">
        <v>0.2</v>
      </c>
      <c r="F12" s="100">
        <v>3</v>
      </c>
      <c r="G12" s="100">
        <v>2</v>
      </c>
      <c r="H12" s="99">
        <v>1</v>
      </c>
      <c r="I12" s="100">
        <v>1</v>
      </c>
      <c r="J12" s="100">
        <v>1</v>
      </c>
      <c r="K12" s="161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139"/>
      <c r="EQ12" s="139"/>
      <c r="ER12" s="139"/>
      <c r="ES12" s="139"/>
      <c r="ET12" s="139"/>
      <c r="EU12" s="139"/>
      <c r="EV12" s="139"/>
      <c r="EW12" s="139"/>
      <c r="EX12" s="139"/>
      <c r="EY12" s="139"/>
      <c r="EZ12" s="139"/>
      <c r="FA12" s="139"/>
      <c r="FB12" s="139"/>
      <c r="FC12" s="139"/>
      <c r="FD12" s="139"/>
      <c r="FE12" s="139"/>
      <c r="FF12" s="139"/>
      <c r="FG12" s="139"/>
      <c r="FH12" s="139"/>
      <c r="FI12" s="139"/>
      <c r="FJ12" s="139"/>
      <c r="FK12" s="139"/>
      <c r="FL12" s="139"/>
      <c r="FM12" s="139"/>
      <c r="FN12" s="139"/>
      <c r="FO12" s="139"/>
      <c r="FP12" s="139"/>
      <c r="FQ12" s="139"/>
      <c r="FR12" s="139"/>
      <c r="FS12" s="139"/>
      <c r="FT12" s="139"/>
      <c r="FU12" s="139"/>
      <c r="FV12" s="139"/>
      <c r="FW12" s="139"/>
      <c r="FX12" s="139"/>
      <c r="FY12" s="139"/>
      <c r="FZ12" s="139"/>
      <c r="GA12" s="139"/>
      <c r="GB12" s="139"/>
      <c r="GC12" s="139"/>
      <c r="GD12" s="139"/>
      <c r="GE12" s="139"/>
      <c r="GF12" s="139"/>
      <c r="GG12" s="139"/>
      <c r="GH12" s="139"/>
      <c r="GI12" s="139"/>
      <c r="GJ12" s="139"/>
      <c r="GK12" s="139"/>
      <c r="GL12" s="139"/>
      <c r="GM12" s="139"/>
      <c r="GN12" s="139"/>
      <c r="GO12" s="139"/>
      <c r="GP12" s="139"/>
      <c r="GQ12" s="139"/>
      <c r="GR12" s="139"/>
      <c r="GS12" s="139"/>
      <c r="GT12" s="139"/>
      <c r="GU12" s="139"/>
      <c r="GV12" s="139"/>
      <c r="GW12" s="139"/>
      <c r="GX12" s="139"/>
      <c r="GY12" s="139"/>
      <c r="GZ12" s="139"/>
      <c r="HA12" s="139"/>
      <c r="HB12" s="139"/>
      <c r="HC12" s="139"/>
      <c r="HD12" s="139"/>
      <c r="HE12" s="139"/>
      <c r="HF12" s="139"/>
      <c r="HG12" s="139"/>
      <c r="HH12" s="139"/>
      <c r="HI12" s="139"/>
      <c r="HJ12" s="139"/>
      <c r="HK12" s="139"/>
      <c r="HL12" s="139"/>
      <c r="HM12" s="139"/>
      <c r="HN12" s="139"/>
      <c r="HO12" s="139"/>
      <c r="HP12" s="139"/>
      <c r="HQ12" s="139"/>
      <c r="HR12" s="139"/>
      <c r="HS12" s="139"/>
      <c r="HT12" s="139"/>
      <c r="HU12" s="139"/>
      <c r="HV12" s="139"/>
      <c r="HW12" s="139"/>
      <c r="HX12" s="139"/>
      <c r="HY12" s="139"/>
      <c r="HZ12" s="139"/>
      <c r="IA12" s="139"/>
      <c r="IB12" s="139"/>
      <c r="IC12" s="139"/>
      <c r="ID12" s="139"/>
      <c r="IE12" s="139"/>
      <c r="IF12" s="139"/>
      <c r="IG12" s="139"/>
      <c r="IH12" s="139"/>
      <c r="II12" s="139"/>
      <c r="IJ12" s="139"/>
      <c r="IK12" s="139"/>
      <c r="IL12" s="139"/>
      <c r="IM12" s="139"/>
      <c r="IN12" s="139"/>
      <c r="IO12" s="139"/>
      <c r="IP12" s="139"/>
      <c r="IQ12" s="139"/>
      <c r="IR12" s="139"/>
      <c r="IS12" s="139"/>
      <c r="IT12" s="139"/>
      <c r="IU12" s="139"/>
      <c r="IV12" s="139"/>
      <c r="IW12" s="139"/>
      <c r="IX12" s="139"/>
      <c r="IY12" s="139"/>
      <c r="IZ12" s="139"/>
      <c r="JA12" s="139"/>
      <c r="JB12" s="139"/>
      <c r="JC12" s="139"/>
      <c r="JD12" s="139"/>
      <c r="JE12" s="139"/>
      <c r="JF12" s="139"/>
      <c r="JG12" s="139"/>
      <c r="JH12" s="139"/>
      <c r="JI12" s="139"/>
      <c r="JJ12" s="139"/>
      <c r="JK12" s="139"/>
      <c r="JL12" s="139"/>
      <c r="JM12" s="139"/>
      <c r="JN12" s="139"/>
      <c r="JO12" s="139"/>
      <c r="JP12" s="139"/>
      <c r="JQ12" s="139"/>
      <c r="JR12" s="139"/>
      <c r="JS12" s="139"/>
      <c r="JT12" s="139"/>
      <c r="JU12" s="139"/>
      <c r="JV12" s="139"/>
      <c r="JW12" s="139"/>
      <c r="JX12" s="139"/>
      <c r="JY12" s="139"/>
      <c r="JZ12" s="139"/>
      <c r="KA12" s="139"/>
      <c r="KB12" s="139"/>
      <c r="KC12" s="139"/>
      <c r="KD12" s="139"/>
      <c r="KE12" s="139"/>
      <c r="KF12" s="139"/>
      <c r="KG12" s="139"/>
      <c r="KH12" s="139"/>
      <c r="KI12" s="139"/>
      <c r="KJ12" s="139"/>
      <c r="KK12" s="139"/>
      <c r="KL12" s="139"/>
      <c r="KM12" s="139"/>
      <c r="KN12" s="139"/>
      <c r="KO12" s="139"/>
      <c r="KP12" s="139"/>
      <c r="KQ12" s="139"/>
      <c r="KR12" s="139"/>
      <c r="KS12" s="139"/>
      <c r="KT12" s="139"/>
      <c r="KU12" s="139"/>
      <c r="KV12" s="139"/>
      <c r="KW12" s="139"/>
      <c r="KX12" s="139"/>
      <c r="KY12" s="139"/>
      <c r="KZ12" s="139"/>
      <c r="LA12" s="139"/>
      <c r="LB12" s="139"/>
      <c r="LC12" s="139"/>
      <c r="LD12" s="139"/>
      <c r="LE12" s="139"/>
      <c r="LF12" s="139"/>
      <c r="LG12" s="139"/>
      <c r="LH12" s="139"/>
      <c r="LI12" s="139"/>
      <c r="LJ12" s="139"/>
      <c r="LK12" s="139"/>
      <c r="LL12" s="139"/>
      <c r="LM12" s="139"/>
      <c r="LN12" s="139"/>
      <c r="LO12" s="139"/>
      <c r="LP12" s="139"/>
      <c r="LQ12" s="139"/>
      <c r="LR12" s="139"/>
      <c r="LS12" s="139"/>
      <c r="LT12" s="139"/>
      <c r="LU12" s="139"/>
      <c r="LV12" s="139"/>
      <c r="LW12" s="139"/>
      <c r="LX12" s="139"/>
      <c r="LY12" s="139"/>
      <c r="LZ12" s="139"/>
      <c r="MA12" s="139"/>
      <c r="MB12" s="139"/>
      <c r="MC12" s="139"/>
      <c r="MD12" s="139"/>
      <c r="ME12" s="139"/>
      <c r="MF12" s="139"/>
      <c r="MG12" s="139"/>
      <c r="MH12" s="139"/>
      <c r="MI12" s="139"/>
      <c r="MJ12" s="139"/>
      <c r="MK12" s="139"/>
      <c r="ML12" s="139"/>
      <c r="MM12" s="139"/>
      <c r="MN12" s="139"/>
      <c r="MO12" s="139"/>
      <c r="MP12" s="139"/>
      <c r="MQ12" s="139"/>
      <c r="MR12" s="139"/>
      <c r="MS12" s="139"/>
      <c r="MT12" s="139"/>
      <c r="MU12" s="139"/>
      <c r="MV12" s="139"/>
      <c r="MW12" s="139"/>
      <c r="MX12" s="139"/>
      <c r="MY12" s="139"/>
      <c r="MZ12" s="139"/>
      <c r="NA12" s="139"/>
      <c r="NB12" s="139"/>
      <c r="NC12" s="139"/>
      <c r="ND12" s="139"/>
      <c r="NE12" s="139"/>
      <c r="NF12" s="139"/>
      <c r="NG12" s="139"/>
      <c r="NH12" s="139"/>
      <c r="NI12" s="139"/>
      <c r="NJ12" s="139"/>
      <c r="NK12" s="139"/>
      <c r="NL12" s="139"/>
      <c r="NM12" s="139"/>
      <c r="NN12" s="139"/>
      <c r="NO12" s="139"/>
      <c r="NP12" s="139"/>
      <c r="NQ12" s="139"/>
      <c r="NR12" s="139"/>
      <c r="NS12" s="139"/>
      <c r="NT12" s="139"/>
      <c r="NU12" s="139"/>
      <c r="NV12" s="139"/>
      <c r="NW12" s="139"/>
      <c r="NX12" s="139"/>
      <c r="NY12" s="139"/>
      <c r="NZ12" s="139"/>
      <c r="OA12" s="139"/>
      <c r="OB12" s="139"/>
      <c r="OC12" s="139"/>
      <c r="OD12" s="139"/>
      <c r="OE12" s="139"/>
      <c r="OF12" s="139"/>
      <c r="OG12" s="139"/>
      <c r="OH12" s="139"/>
      <c r="OI12" s="139"/>
      <c r="OJ12" s="139"/>
      <c r="OK12" s="139"/>
      <c r="OL12" s="139"/>
      <c r="OM12" s="139"/>
      <c r="ON12" s="139"/>
      <c r="OO12" s="139"/>
      <c r="OP12" s="139"/>
      <c r="OQ12" s="139"/>
      <c r="OR12" s="139"/>
      <c r="OS12" s="139"/>
      <c r="OT12" s="139"/>
      <c r="OU12" s="139"/>
      <c r="OV12" s="139"/>
      <c r="OW12" s="139"/>
      <c r="OX12" s="139"/>
      <c r="OY12" s="139"/>
      <c r="OZ12" s="139"/>
      <c r="PA12" s="139"/>
      <c r="PB12" s="139"/>
      <c r="PC12" s="139"/>
      <c r="PD12" s="139"/>
      <c r="PE12" s="139"/>
      <c r="PF12" s="139"/>
      <c r="PG12" s="139"/>
      <c r="PH12" s="139"/>
      <c r="PI12" s="139"/>
      <c r="PJ12" s="139"/>
      <c r="PK12" s="139"/>
      <c r="PL12" s="139"/>
      <c r="PM12" s="139"/>
      <c r="PN12" s="139"/>
      <c r="PO12" s="139"/>
      <c r="PP12" s="139"/>
      <c r="PQ12" s="139"/>
      <c r="PR12" s="139"/>
      <c r="PS12" s="139"/>
      <c r="PT12" s="139"/>
      <c r="PU12" s="139"/>
      <c r="PV12" s="139"/>
      <c r="PW12" s="139"/>
      <c r="PX12" s="139"/>
      <c r="PY12" s="139"/>
      <c r="PZ12" s="139"/>
      <c r="QA12" s="139"/>
      <c r="QB12" s="139"/>
      <c r="QC12" s="139"/>
      <c r="QD12" s="139"/>
      <c r="QE12" s="139"/>
      <c r="QF12" s="139"/>
      <c r="QG12" s="139"/>
      <c r="QH12" s="139"/>
      <c r="QI12" s="139"/>
      <c r="QJ12" s="139"/>
      <c r="QK12" s="139"/>
      <c r="QL12" s="139"/>
      <c r="QM12" s="139"/>
      <c r="QN12" s="139"/>
      <c r="QO12" s="139"/>
      <c r="QP12" s="139"/>
      <c r="QQ12" s="139"/>
      <c r="QR12" s="139"/>
      <c r="QS12" s="139"/>
      <c r="QT12" s="139"/>
      <c r="QU12" s="139"/>
      <c r="QV12" s="139"/>
      <c r="QW12" s="139"/>
      <c r="QX12" s="139"/>
      <c r="QY12" s="139"/>
      <c r="QZ12" s="139"/>
      <c r="RA12" s="139"/>
      <c r="RB12" s="139"/>
      <c r="RC12" s="139"/>
      <c r="RD12" s="139"/>
      <c r="RE12" s="139"/>
      <c r="RF12" s="139"/>
      <c r="RG12" s="139"/>
      <c r="RH12" s="139"/>
      <c r="RI12" s="139"/>
      <c r="RJ12" s="139"/>
      <c r="RK12" s="139"/>
      <c r="RL12" s="139"/>
      <c r="RM12" s="139"/>
      <c r="RN12" s="139"/>
      <c r="RO12" s="139"/>
      <c r="RP12" s="139"/>
      <c r="RQ12" s="139"/>
      <c r="RR12" s="139"/>
      <c r="RS12" s="139"/>
      <c r="RT12" s="139"/>
      <c r="RU12" s="139"/>
      <c r="RV12" s="139"/>
      <c r="RW12" s="139"/>
      <c r="RX12" s="139"/>
      <c r="RY12" s="139"/>
      <c r="RZ12" s="139"/>
      <c r="SA12" s="139"/>
      <c r="SB12" s="139"/>
      <c r="SC12" s="139"/>
      <c r="SD12" s="139"/>
      <c r="SE12" s="139"/>
      <c r="SF12" s="139"/>
      <c r="SG12" s="139"/>
      <c r="SH12" s="139"/>
      <c r="SI12" s="139"/>
      <c r="SJ12" s="139"/>
      <c r="SK12" s="139"/>
      <c r="SL12" s="139"/>
      <c r="SM12" s="139"/>
      <c r="SN12" s="139"/>
      <c r="SO12" s="139"/>
      <c r="SP12" s="139"/>
      <c r="SQ12" s="139"/>
      <c r="SR12" s="139"/>
      <c r="SS12" s="139"/>
      <c r="ST12" s="139"/>
      <c r="SU12" s="139"/>
      <c r="SV12" s="139"/>
      <c r="SW12" s="139"/>
      <c r="SX12" s="139"/>
      <c r="SY12" s="139"/>
      <c r="SZ12" s="139"/>
      <c r="TA12" s="139"/>
      <c r="TB12" s="139"/>
      <c r="TC12" s="139"/>
      <c r="TD12" s="139"/>
      <c r="TE12" s="139"/>
      <c r="TF12" s="139"/>
      <c r="TG12" s="139"/>
      <c r="TH12" s="139"/>
      <c r="TI12" s="139"/>
      <c r="TJ12" s="139"/>
      <c r="TK12" s="139"/>
      <c r="TL12" s="139"/>
      <c r="TM12" s="139"/>
      <c r="TN12" s="139"/>
      <c r="TO12" s="139"/>
      <c r="TP12" s="139"/>
      <c r="TQ12" s="139"/>
      <c r="TR12" s="139"/>
      <c r="TS12" s="139"/>
      <c r="TT12" s="139"/>
      <c r="TU12" s="139"/>
      <c r="TV12" s="139"/>
      <c r="TW12" s="139"/>
      <c r="TX12" s="139"/>
      <c r="TY12" s="139"/>
      <c r="TZ12" s="139"/>
      <c r="UA12" s="139"/>
      <c r="UB12" s="139"/>
      <c r="UC12" s="139"/>
      <c r="UD12" s="139"/>
      <c r="UE12" s="139"/>
      <c r="UF12" s="139"/>
      <c r="UG12" s="139"/>
      <c r="UH12" s="139"/>
      <c r="UI12" s="139"/>
      <c r="UJ12" s="139"/>
      <c r="UK12" s="139"/>
      <c r="UL12" s="139"/>
      <c r="UM12" s="139"/>
      <c r="UN12" s="139"/>
      <c r="UO12" s="139"/>
      <c r="UP12" s="139"/>
      <c r="UQ12" s="139"/>
      <c r="UR12" s="139"/>
      <c r="US12" s="139"/>
      <c r="UT12" s="139"/>
      <c r="UU12" s="139"/>
      <c r="UV12" s="139"/>
      <c r="UW12" s="139"/>
      <c r="UX12" s="139"/>
      <c r="UY12" s="139"/>
      <c r="UZ12" s="139"/>
      <c r="VA12" s="139"/>
      <c r="VB12" s="139"/>
      <c r="VC12" s="139"/>
      <c r="VD12" s="139"/>
      <c r="VE12" s="139"/>
      <c r="VF12" s="139"/>
      <c r="VG12" s="139"/>
      <c r="VH12" s="139"/>
      <c r="VI12" s="139"/>
      <c r="VJ12" s="139"/>
      <c r="VK12" s="139"/>
      <c r="VL12" s="139"/>
      <c r="VM12" s="139"/>
      <c r="VN12" s="139"/>
      <c r="VO12" s="139"/>
      <c r="VP12" s="139"/>
      <c r="VQ12" s="139"/>
      <c r="VR12" s="139"/>
      <c r="VS12" s="139"/>
      <c r="VT12" s="139"/>
      <c r="VU12" s="139"/>
      <c r="VV12" s="139"/>
      <c r="VW12" s="139"/>
      <c r="VX12" s="139"/>
      <c r="VY12" s="139"/>
      <c r="VZ12" s="139"/>
      <c r="WA12" s="139"/>
      <c r="WB12" s="139"/>
      <c r="WC12" s="139"/>
      <c r="WD12" s="139"/>
      <c r="WE12" s="139"/>
      <c r="WF12" s="139"/>
      <c r="WG12" s="139"/>
      <c r="WH12" s="139"/>
      <c r="WI12" s="139"/>
      <c r="WJ12" s="139"/>
      <c r="WK12" s="139"/>
      <c r="WL12" s="139"/>
      <c r="WM12" s="139"/>
      <c r="WN12" s="139"/>
      <c r="WO12" s="139"/>
      <c r="WP12" s="139"/>
      <c r="WQ12" s="139"/>
      <c r="WR12" s="139"/>
      <c r="WS12" s="139"/>
      <c r="WT12" s="139"/>
      <c r="WU12" s="139"/>
      <c r="WV12" s="139"/>
      <c r="WW12" s="139"/>
      <c r="WX12" s="139"/>
      <c r="WY12" s="139"/>
      <c r="WZ12" s="139"/>
      <c r="XA12" s="139"/>
      <c r="XB12" s="139"/>
      <c r="XC12" s="139"/>
      <c r="XD12" s="139"/>
      <c r="XE12" s="139"/>
      <c r="XF12" s="139"/>
      <c r="XG12" s="139"/>
      <c r="XH12" s="139"/>
      <c r="XI12" s="139"/>
      <c r="XJ12" s="139"/>
      <c r="XK12" s="139"/>
      <c r="XL12" s="139"/>
      <c r="XM12" s="139"/>
      <c r="XN12" s="139"/>
      <c r="XO12" s="139"/>
      <c r="XP12" s="139"/>
      <c r="XQ12" s="139"/>
      <c r="XR12" s="139"/>
      <c r="XS12" s="139"/>
      <c r="XT12" s="139"/>
      <c r="XU12" s="139"/>
      <c r="XV12" s="139"/>
      <c r="XW12" s="139"/>
      <c r="XX12" s="139"/>
      <c r="XY12" s="139"/>
      <c r="XZ12" s="139"/>
      <c r="YA12" s="139"/>
      <c r="YB12" s="139"/>
      <c r="YC12" s="139"/>
      <c r="YD12" s="139"/>
      <c r="YE12" s="139"/>
      <c r="YF12" s="139"/>
      <c r="YG12" s="139"/>
      <c r="YH12" s="139"/>
      <c r="YI12" s="139"/>
      <c r="YJ12" s="139"/>
      <c r="YK12" s="139"/>
      <c r="YL12" s="139"/>
      <c r="YM12" s="139"/>
      <c r="YN12" s="139"/>
      <c r="YO12" s="139"/>
      <c r="YP12" s="139"/>
      <c r="YQ12" s="139"/>
      <c r="YR12" s="139"/>
      <c r="YS12" s="139"/>
      <c r="YT12" s="139"/>
      <c r="YU12" s="139"/>
      <c r="YV12" s="139"/>
      <c r="YW12" s="139"/>
      <c r="YX12" s="139"/>
      <c r="YY12" s="139"/>
      <c r="YZ12" s="139"/>
      <c r="ZA12" s="139"/>
      <c r="ZB12" s="139"/>
      <c r="ZC12" s="139"/>
      <c r="ZD12" s="139"/>
      <c r="ZE12" s="139"/>
      <c r="ZF12" s="139"/>
      <c r="ZG12" s="139"/>
      <c r="ZH12" s="139"/>
      <c r="ZI12" s="139"/>
      <c r="ZJ12" s="139"/>
      <c r="ZK12" s="139"/>
      <c r="ZL12" s="139"/>
      <c r="ZM12" s="139"/>
      <c r="ZN12" s="139"/>
      <c r="ZO12" s="139"/>
      <c r="ZP12" s="139"/>
      <c r="ZQ12" s="139"/>
      <c r="ZR12" s="139"/>
      <c r="ZS12" s="139"/>
      <c r="ZT12" s="139"/>
      <c r="ZU12" s="139"/>
      <c r="ZV12" s="139"/>
      <c r="ZW12" s="139"/>
      <c r="ZX12" s="139"/>
      <c r="ZY12" s="139"/>
      <c r="ZZ12" s="139"/>
      <c r="AAA12" s="139"/>
      <c r="AAB12" s="139"/>
      <c r="AAC12" s="139"/>
      <c r="AAD12" s="139"/>
      <c r="AAE12" s="139"/>
      <c r="AAF12" s="139"/>
      <c r="AAG12" s="139"/>
      <c r="AAH12" s="139"/>
      <c r="AAI12" s="139"/>
      <c r="AAJ12" s="139"/>
      <c r="AAK12" s="139"/>
      <c r="AAL12" s="139"/>
      <c r="AAM12" s="139"/>
      <c r="AAN12" s="139"/>
      <c r="AAO12" s="139"/>
      <c r="AAP12" s="139"/>
      <c r="AAQ12" s="139"/>
      <c r="AAR12" s="139"/>
      <c r="AAS12" s="139"/>
      <c r="AAT12" s="139"/>
      <c r="AAU12" s="139"/>
      <c r="AAV12" s="139"/>
      <c r="AAW12" s="139"/>
      <c r="AAX12" s="139"/>
      <c r="AAY12" s="139"/>
      <c r="AAZ12" s="139"/>
      <c r="ABA12" s="139"/>
      <c r="ABB12" s="139"/>
      <c r="ABC12" s="139"/>
      <c r="ABD12" s="139"/>
      <c r="ABE12" s="139"/>
      <c r="ABF12" s="139"/>
      <c r="ABG12" s="139"/>
      <c r="ABH12" s="139"/>
      <c r="ABI12" s="139"/>
      <c r="ABJ12" s="139"/>
      <c r="ABK12" s="139"/>
      <c r="ABL12" s="139"/>
      <c r="ABM12" s="139"/>
      <c r="ABN12" s="139"/>
      <c r="ABO12" s="139"/>
      <c r="ABP12" s="139"/>
      <c r="ABQ12" s="139"/>
      <c r="ABR12" s="139"/>
      <c r="ABS12" s="139"/>
      <c r="ABT12" s="139"/>
      <c r="ABU12" s="139"/>
      <c r="ABV12" s="139"/>
      <c r="ABW12" s="139"/>
      <c r="ABX12" s="139"/>
      <c r="ABY12" s="139"/>
      <c r="ABZ12" s="139"/>
      <c r="ACA12" s="139"/>
      <c r="ACB12" s="139"/>
      <c r="ACC12" s="139"/>
      <c r="ACD12" s="139"/>
      <c r="ACE12" s="139"/>
      <c r="ACF12" s="139"/>
      <c r="ACG12" s="139"/>
      <c r="ACH12" s="139"/>
      <c r="ACI12" s="139"/>
      <c r="ACJ12" s="139"/>
      <c r="ACK12" s="139"/>
      <c r="ACL12" s="139"/>
      <c r="ACM12" s="139"/>
      <c r="ACN12" s="139"/>
      <c r="ACO12" s="139"/>
      <c r="ACP12" s="139"/>
      <c r="ACQ12" s="139"/>
      <c r="ACR12" s="139"/>
      <c r="ACS12" s="139"/>
      <c r="ACT12" s="139"/>
      <c r="ACU12" s="139"/>
      <c r="ACV12" s="139"/>
      <c r="ACW12" s="139"/>
      <c r="ACX12" s="139"/>
      <c r="ACY12" s="139"/>
      <c r="ACZ12" s="139"/>
      <c r="ADA12" s="139"/>
      <c r="ADB12" s="139"/>
      <c r="ADC12" s="139"/>
      <c r="ADD12" s="139"/>
      <c r="ADE12" s="139"/>
      <c r="ADF12" s="139"/>
      <c r="ADG12" s="139"/>
      <c r="ADH12" s="139"/>
      <c r="ADI12" s="139"/>
      <c r="ADJ12" s="139"/>
      <c r="ADK12" s="139"/>
      <c r="ADL12" s="139"/>
      <c r="ADM12" s="139"/>
      <c r="ADN12" s="139"/>
      <c r="ADO12" s="139"/>
      <c r="ADP12" s="139"/>
      <c r="ADQ12" s="139"/>
      <c r="ADR12" s="139"/>
      <c r="ADS12" s="139"/>
      <c r="ADT12" s="139"/>
      <c r="ADU12" s="139"/>
      <c r="ADV12" s="139"/>
      <c r="ADW12" s="139"/>
      <c r="ADX12" s="139"/>
      <c r="ADY12" s="139"/>
      <c r="ADZ12" s="139"/>
      <c r="AEA12" s="139"/>
      <c r="AEB12" s="139"/>
      <c r="AEC12" s="139"/>
      <c r="AED12" s="139"/>
      <c r="AEE12" s="139"/>
      <c r="AEF12" s="139"/>
      <c r="AEG12" s="139"/>
      <c r="AEH12" s="139"/>
      <c r="AEI12" s="139"/>
      <c r="AEJ12" s="139"/>
      <c r="AEK12" s="139"/>
      <c r="AEL12" s="139"/>
      <c r="AEM12" s="139"/>
      <c r="AEN12" s="139"/>
      <c r="AEO12" s="139"/>
      <c r="AEP12" s="139"/>
      <c r="AEQ12" s="139"/>
      <c r="AER12" s="139"/>
      <c r="AES12" s="139"/>
      <c r="AET12" s="139"/>
      <c r="AEU12" s="139"/>
      <c r="AEV12" s="139"/>
      <c r="AEW12" s="139"/>
      <c r="AEX12" s="139"/>
      <c r="AEY12" s="139"/>
      <c r="AEZ12" s="139"/>
      <c r="AFA12" s="139"/>
      <c r="AFB12" s="139"/>
      <c r="AFC12" s="139"/>
      <c r="AFD12" s="139"/>
      <c r="AFE12" s="139"/>
      <c r="AFF12" s="139"/>
      <c r="AFG12" s="139"/>
      <c r="AFH12" s="139"/>
      <c r="AFI12" s="139"/>
      <c r="AFJ12" s="139"/>
      <c r="AFK12" s="139"/>
      <c r="AFL12" s="139"/>
      <c r="AFM12" s="139"/>
      <c r="AFN12" s="139"/>
      <c r="AFO12" s="139"/>
      <c r="AFP12" s="139"/>
      <c r="AFQ12" s="139"/>
      <c r="AFR12" s="139"/>
      <c r="AFS12" s="139"/>
      <c r="AFT12" s="139"/>
      <c r="AFU12" s="139"/>
      <c r="AFV12" s="139"/>
      <c r="AFW12" s="139"/>
      <c r="AFX12" s="139"/>
      <c r="AFY12" s="139"/>
      <c r="AFZ12" s="139"/>
      <c r="AGA12" s="139"/>
      <c r="AGB12" s="139"/>
      <c r="AGC12" s="139"/>
      <c r="AGD12" s="139"/>
      <c r="AGE12" s="139"/>
      <c r="AGF12" s="139"/>
      <c r="AGG12" s="139"/>
      <c r="AGH12" s="139"/>
      <c r="AGI12" s="139"/>
      <c r="AGJ12" s="139"/>
      <c r="AGK12" s="139"/>
      <c r="AGL12" s="139"/>
      <c r="AGM12" s="139"/>
      <c r="AGN12" s="139"/>
      <c r="AGO12" s="139"/>
      <c r="AGP12" s="139"/>
      <c r="AGQ12" s="139"/>
      <c r="AGR12" s="139"/>
      <c r="AGS12" s="139"/>
      <c r="AGT12" s="139"/>
      <c r="AGU12" s="139"/>
      <c r="AGV12" s="139"/>
      <c r="AGW12" s="139"/>
      <c r="AGX12" s="139"/>
      <c r="AGY12" s="139"/>
      <c r="AGZ12" s="139"/>
      <c r="AHA12" s="139"/>
      <c r="AHB12" s="139"/>
      <c r="AHC12" s="139"/>
      <c r="AHD12" s="139"/>
      <c r="AHE12" s="139"/>
      <c r="AHF12" s="139"/>
      <c r="AHG12" s="139"/>
      <c r="AHH12" s="139"/>
      <c r="AHI12" s="139"/>
      <c r="AHJ12" s="139"/>
      <c r="AHK12" s="139"/>
      <c r="AHL12" s="139"/>
      <c r="AHM12" s="139"/>
      <c r="AHN12" s="139"/>
      <c r="AHO12" s="139"/>
      <c r="AHP12" s="139"/>
      <c r="AHQ12" s="139"/>
      <c r="AHR12" s="139"/>
      <c r="AHS12" s="139"/>
      <c r="AHT12" s="139"/>
      <c r="AHU12" s="139"/>
      <c r="AHV12" s="139"/>
      <c r="AHW12" s="139"/>
      <c r="AHX12" s="139"/>
      <c r="AHY12" s="139"/>
      <c r="AHZ12" s="139"/>
      <c r="AIA12" s="139"/>
      <c r="AIB12" s="139"/>
      <c r="AIC12" s="139"/>
      <c r="AID12" s="139"/>
      <c r="AIE12" s="139"/>
      <c r="AIF12" s="139"/>
      <c r="AIG12" s="139"/>
      <c r="AIH12" s="139"/>
      <c r="AII12" s="139"/>
      <c r="AIJ12" s="139"/>
      <c r="AIK12" s="139"/>
      <c r="AIL12" s="139"/>
      <c r="AIM12" s="139"/>
      <c r="AIN12" s="139"/>
      <c r="AIO12" s="139"/>
      <c r="AIP12" s="139"/>
      <c r="AIQ12" s="139"/>
      <c r="AIR12" s="139"/>
      <c r="AIS12" s="139"/>
      <c r="AIT12" s="139"/>
      <c r="AIU12" s="139"/>
      <c r="AIV12" s="139"/>
      <c r="AIW12" s="139"/>
      <c r="AIX12" s="139"/>
      <c r="AIY12" s="139"/>
      <c r="AIZ12" s="139"/>
      <c r="AJA12" s="139"/>
      <c r="AJB12" s="139"/>
      <c r="AJC12" s="139"/>
      <c r="AJD12" s="139"/>
      <c r="AJE12" s="139"/>
      <c r="AJF12" s="139"/>
      <c r="AJG12" s="139"/>
      <c r="AJH12" s="139"/>
      <c r="AJI12" s="139"/>
      <c r="AJJ12" s="139"/>
      <c r="AJK12" s="139"/>
      <c r="AJL12" s="139"/>
      <c r="AJM12" s="139"/>
      <c r="AJN12" s="139"/>
      <c r="AJO12" s="139"/>
      <c r="AJP12" s="139"/>
      <c r="AJQ12" s="139"/>
      <c r="AJR12" s="139"/>
      <c r="AJS12" s="139"/>
      <c r="AJT12" s="139"/>
      <c r="AJU12" s="139"/>
      <c r="AJV12" s="139"/>
      <c r="AJW12" s="139"/>
      <c r="AJX12" s="139"/>
      <c r="AJY12" s="139"/>
      <c r="AJZ12" s="139"/>
      <c r="AKA12" s="139"/>
      <c r="AKB12" s="139"/>
      <c r="AKC12" s="139"/>
      <c r="AKD12" s="139"/>
      <c r="AKE12" s="139"/>
      <c r="AKF12" s="139"/>
      <c r="AKG12" s="139"/>
      <c r="AKH12" s="139"/>
      <c r="AKI12" s="139"/>
      <c r="AKJ12" s="139"/>
      <c r="AKK12" s="139"/>
      <c r="AKL12" s="139"/>
      <c r="AKM12" s="139"/>
      <c r="AKN12" s="139"/>
      <c r="AKO12" s="139"/>
      <c r="AKP12" s="139"/>
      <c r="AKQ12" s="139"/>
      <c r="AKR12" s="139"/>
      <c r="AKS12" s="139"/>
      <c r="AKT12" s="139"/>
      <c r="AKU12" s="139"/>
      <c r="AKV12" s="139"/>
      <c r="AKW12" s="139"/>
      <c r="AKX12" s="139"/>
      <c r="AKY12" s="139"/>
      <c r="AKZ12" s="139"/>
      <c r="ALA12" s="139"/>
      <c r="ALB12" s="139"/>
      <c r="ALC12" s="139"/>
      <c r="ALD12" s="139"/>
      <c r="ALE12" s="139"/>
      <c r="ALF12" s="139"/>
      <c r="ALG12" s="139"/>
      <c r="ALH12" s="139"/>
      <c r="ALI12" s="139"/>
      <c r="ALJ12" s="139"/>
      <c r="ALK12" s="139"/>
      <c r="ALL12" s="139"/>
      <c r="ALM12" s="139"/>
      <c r="ALN12" s="139"/>
      <c r="ALO12" s="139"/>
      <c r="ALP12" s="139"/>
      <c r="ALQ12" s="139"/>
      <c r="ALR12" s="139"/>
      <c r="ALS12" s="139"/>
      <c r="ALT12" s="139"/>
      <c r="ALU12" s="139"/>
      <c r="ALV12" s="139"/>
      <c r="ALW12" s="139"/>
      <c r="ALX12" s="139"/>
      <c r="ALY12" s="139"/>
      <c r="ALZ12" s="139"/>
      <c r="AMA12" s="139"/>
      <c r="AMB12" s="139"/>
      <c r="AMC12" s="139"/>
      <c r="AMD12" s="139"/>
      <c r="AME12" s="139"/>
    </row>
    <row r="13" spans="1:1024" s="139" customFormat="1" x14ac:dyDescent="0.25">
      <c r="A13" s="162" t="s">
        <v>16</v>
      </c>
      <c r="B13" s="163">
        <v>5</v>
      </c>
      <c r="C13" s="164">
        <v>3</v>
      </c>
      <c r="D13" s="164">
        <v>11</v>
      </c>
      <c r="E13" s="164">
        <v>9</v>
      </c>
      <c r="F13" s="164">
        <v>15</v>
      </c>
      <c r="G13" s="165">
        <v>10</v>
      </c>
      <c r="H13" s="165">
        <v>12</v>
      </c>
      <c r="I13" s="164">
        <v>10</v>
      </c>
      <c r="J13" s="164">
        <v>4</v>
      </c>
      <c r="K13" s="166">
        <f>SUM(B13:J13)</f>
        <v>79</v>
      </c>
      <c r="L13" s="167"/>
      <c r="M13" s="167"/>
      <c r="N13" s="167"/>
      <c r="O13" s="167"/>
      <c r="P13" s="167"/>
    </row>
    <row r="14" spans="1:1024" s="172" customFormat="1" x14ac:dyDescent="0.25">
      <c r="A14" s="168" t="s">
        <v>17</v>
      </c>
      <c r="B14" s="169">
        <f t="shared" ref="B14:J14" si="13">2^B13</f>
        <v>32</v>
      </c>
      <c r="C14" s="169">
        <f t="shared" si="13"/>
        <v>8</v>
      </c>
      <c r="D14" s="169">
        <f t="shared" si="13"/>
        <v>2048</v>
      </c>
      <c r="E14" s="169">
        <f t="shared" si="13"/>
        <v>512</v>
      </c>
      <c r="F14" s="169">
        <f t="shared" si="13"/>
        <v>32768</v>
      </c>
      <c r="G14" s="169">
        <f t="shared" si="13"/>
        <v>1024</v>
      </c>
      <c r="H14" s="169">
        <f t="shared" si="13"/>
        <v>4096</v>
      </c>
      <c r="I14" s="169">
        <f t="shared" si="13"/>
        <v>1024</v>
      </c>
      <c r="J14" s="169">
        <f t="shared" si="13"/>
        <v>16</v>
      </c>
      <c r="K14" s="170"/>
      <c r="L14" s="171"/>
      <c r="M14" s="171"/>
      <c r="N14" s="171"/>
      <c r="O14" s="171"/>
      <c r="P14" s="171"/>
    </row>
    <row r="15" spans="1:1024" s="140" customFormat="1" x14ac:dyDescent="0.25">
      <c r="A15" s="160" t="s">
        <v>18</v>
      </c>
      <c r="B15" s="100">
        <v>0</v>
      </c>
      <c r="C15" s="100">
        <v>0</v>
      </c>
      <c r="D15" s="100">
        <v>-50</v>
      </c>
      <c r="E15" s="100">
        <v>0</v>
      </c>
      <c r="F15" s="100">
        <v>30000</v>
      </c>
      <c r="G15" s="100">
        <v>0</v>
      </c>
      <c r="H15" s="97">
        <v>0</v>
      </c>
      <c r="I15" s="97">
        <v>0</v>
      </c>
      <c r="J15" s="100">
        <v>0</v>
      </c>
      <c r="K15" s="161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39"/>
      <c r="EL15" s="139"/>
      <c r="EM15" s="139"/>
      <c r="EN15" s="139"/>
      <c r="EO15" s="139"/>
      <c r="EP15" s="139"/>
      <c r="EQ15" s="139"/>
      <c r="ER15" s="139"/>
      <c r="ES15" s="139"/>
      <c r="ET15" s="139"/>
      <c r="EU15" s="139"/>
      <c r="EV15" s="139"/>
      <c r="EW15" s="139"/>
      <c r="EX15" s="139"/>
      <c r="EY15" s="139"/>
      <c r="EZ15" s="139"/>
      <c r="FA15" s="139"/>
      <c r="FB15" s="139"/>
      <c r="FC15" s="139"/>
      <c r="FD15" s="139"/>
      <c r="FE15" s="139"/>
      <c r="FF15" s="139"/>
      <c r="FG15" s="139"/>
      <c r="FH15" s="139"/>
      <c r="FI15" s="139"/>
      <c r="FJ15" s="139"/>
      <c r="FK15" s="139"/>
      <c r="FL15" s="139"/>
      <c r="FM15" s="139"/>
      <c r="FN15" s="139"/>
      <c r="FO15" s="139"/>
      <c r="FP15" s="139"/>
      <c r="FQ15" s="139"/>
      <c r="FR15" s="139"/>
      <c r="FS15" s="139"/>
      <c r="FT15" s="139"/>
      <c r="FU15" s="139"/>
      <c r="FV15" s="139"/>
      <c r="FW15" s="139"/>
      <c r="FX15" s="139"/>
      <c r="FY15" s="139"/>
      <c r="FZ15" s="139"/>
      <c r="GA15" s="139"/>
      <c r="GB15" s="139"/>
      <c r="GC15" s="139"/>
      <c r="GD15" s="139"/>
      <c r="GE15" s="139"/>
      <c r="GF15" s="139"/>
      <c r="GG15" s="139"/>
      <c r="GH15" s="139"/>
      <c r="GI15" s="139"/>
      <c r="GJ15" s="139"/>
      <c r="GK15" s="139"/>
      <c r="GL15" s="139"/>
      <c r="GM15" s="139"/>
      <c r="GN15" s="139"/>
      <c r="GO15" s="139"/>
      <c r="GP15" s="139"/>
      <c r="GQ15" s="139"/>
      <c r="GR15" s="139"/>
      <c r="GS15" s="139"/>
      <c r="GT15" s="139"/>
      <c r="GU15" s="139"/>
      <c r="GV15" s="139"/>
      <c r="GW15" s="139"/>
      <c r="GX15" s="139"/>
      <c r="GY15" s="139"/>
      <c r="GZ15" s="139"/>
      <c r="HA15" s="139"/>
      <c r="HB15" s="139"/>
      <c r="HC15" s="139"/>
      <c r="HD15" s="139"/>
      <c r="HE15" s="139"/>
      <c r="HF15" s="139"/>
      <c r="HG15" s="139"/>
      <c r="HH15" s="139"/>
      <c r="HI15" s="139"/>
      <c r="HJ15" s="139"/>
      <c r="HK15" s="139"/>
      <c r="HL15" s="139"/>
      <c r="HM15" s="139"/>
      <c r="HN15" s="139"/>
      <c r="HO15" s="139"/>
      <c r="HP15" s="139"/>
      <c r="HQ15" s="139"/>
      <c r="HR15" s="139"/>
      <c r="HS15" s="139"/>
      <c r="HT15" s="139"/>
      <c r="HU15" s="139"/>
      <c r="HV15" s="139"/>
      <c r="HW15" s="139"/>
      <c r="HX15" s="139"/>
      <c r="HY15" s="139"/>
      <c r="HZ15" s="139"/>
      <c r="IA15" s="139"/>
      <c r="IB15" s="139"/>
      <c r="IC15" s="139"/>
      <c r="ID15" s="139"/>
      <c r="IE15" s="139"/>
      <c r="IF15" s="139"/>
      <c r="IG15" s="139"/>
      <c r="IH15" s="139"/>
      <c r="II15" s="139"/>
      <c r="IJ15" s="139"/>
      <c r="IK15" s="139"/>
      <c r="IL15" s="139"/>
      <c r="IM15" s="139"/>
      <c r="IN15" s="139"/>
      <c r="IO15" s="139"/>
      <c r="IP15" s="139"/>
      <c r="IQ15" s="139"/>
      <c r="IR15" s="139"/>
      <c r="IS15" s="139"/>
      <c r="IT15" s="139"/>
      <c r="IU15" s="139"/>
      <c r="IV15" s="139"/>
      <c r="IW15" s="139"/>
      <c r="IX15" s="139"/>
      <c r="IY15" s="139"/>
      <c r="IZ15" s="139"/>
      <c r="JA15" s="139"/>
      <c r="JB15" s="139"/>
      <c r="JC15" s="139"/>
      <c r="JD15" s="139"/>
      <c r="JE15" s="139"/>
      <c r="JF15" s="139"/>
      <c r="JG15" s="139"/>
      <c r="JH15" s="139"/>
      <c r="JI15" s="139"/>
      <c r="JJ15" s="139"/>
      <c r="JK15" s="139"/>
      <c r="JL15" s="139"/>
      <c r="JM15" s="139"/>
      <c r="JN15" s="139"/>
      <c r="JO15" s="139"/>
      <c r="JP15" s="139"/>
      <c r="JQ15" s="139"/>
      <c r="JR15" s="139"/>
      <c r="JS15" s="139"/>
      <c r="JT15" s="139"/>
      <c r="JU15" s="139"/>
      <c r="JV15" s="139"/>
      <c r="JW15" s="139"/>
      <c r="JX15" s="139"/>
      <c r="JY15" s="139"/>
      <c r="JZ15" s="139"/>
      <c r="KA15" s="139"/>
      <c r="KB15" s="139"/>
      <c r="KC15" s="139"/>
      <c r="KD15" s="139"/>
      <c r="KE15" s="139"/>
      <c r="KF15" s="139"/>
      <c r="KG15" s="139"/>
      <c r="KH15" s="139"/>
      <c r="KI15" s="139"/>
      <c r="KJ15" s="139"/>
      <c r="KK15" s="139"/>
      <c r="KL15" s="139"/>
      <c r="KM15" s="139"/>
      <c r="KN15" s="139"/>
      <c r="KO15" s="139"/>
      <c r="KP15" s="139"/>
      <c r="KQ15" s="139"/>
      <c r="KR15" s="139"/>
      <c r="KS15" s="139"/>
      <c r="KT15" s="139"/>
      <c r="KU15" s="139"/>
      <c r="KV15" s="139"/>
      <c r="KW15" s="139"/>
      <c r="KX15" s="139"/>
      <c r="KY15" s="139"/>
      <c r="KZ15" s="139"/>
      <c r="LA15" s="139"/>
      <c r="LB15" s="139"/>
      <c r="LC15" s="139"/>
      <c r="LD15" s="139"/>
      <c r="LE15" s="139"/>
      <c r="LF15" s="139"/>
      <c r="LG15" s="139"/>
      <c r="LH15" s="139"/>
      <c r="LI15" s="139"/>
      <c r="LJ15" s="139"/>
      <c r="LK15" s="139"/>
      <c r="LL15" s="139"/>
      <c r="LM15" s="139"/>
      <c r="LN15" s="139"/>
      <c r="LO15" s="139"/>
      <c r="LP15" s="139"/>
      <c r="LQ15" s="139"/>
      <c r="LR15" s="139"/>
      <c r="LS15" s="139"/>
      <c r="LT15" s="139"/>
      <c r="LU15" s="139"/>
      <c r="LV15" s="139"/>
      <c r="LW15" s="139"/>
      <c r="LX15" s="139"/>
      <c r="LY15" s="139"/>
      <c r="LZ15" s="139"/>
      <c r="MA15" s="139"/>
      <c r="MB15" s="139"/>
      <c r="MC15" s="139"/>
      <c r="MD15" s="139"/>
      <c r="ME15" s="139"/>
      <c r="MF15" s="139"/>
      <c r="MG15" s="139"/>
      <c r="MH15" s="139"/>
      <c r="MI15" s="139"/>
      <c r="MJ15" s="139"/>
      <c r="MK15" s="139"/>
      <c r="ML15" s="139"/>
      <c r="MM15" s="139"/>
      <c r="MN15" s="139"/>
      <c r="MO15" s="139"/>
      <c r="MP15" s="139"/>
      <c r="MQ15" s="139"/>
      <c r="MR15" s="139"/>
      <c r="MS15" s="139"/>
      <c r="MT15" s="139"/>
      <c r="MU15" s="139"/>
      <c r="MV15" s="139"/>
      <c r="MW15" s="139"/>
      <c r="MX15" s="139"/>
      <c r="MY15" s="139"/>
      <c r="MZ15" s="139"/>
      <c r="NA15" s="139"/>
      <c r="NB15" s="139"/>
      <c r="NC15" s="139"/>
      <c r="ND15" s="139"/>
      <c r="NE15" s="139"/>
      <c r="NF15" s="139"/>
      <c r="NG15" s="139"/>
      <c r="NH15" s="139"/>
      <c r="NI15" s="139"/>
      <c r="NJ15" s="139"/>
      <c r="NK15" s="139"/>
      <c r="NL15" s="139"/>
      <c r="NM15" s="139"/>
      <c r="NN15" s="139"/>
      <c r="NO15" s="139"/>
      <c r="NP15" s="139"/>
      <c r="NQ15" s="139"/>
      <c r="NR15" s="139"/>
      <c r="NS15" s="139"/>
      <c r="NT15" s="139"/>
      <c r="NU15" s="139"/>
      <c r="NV15" s="139"/>
      <c r="NW15" s="139"/>
      <c r="NX15" s="139"/>
      <c r="NY15" s="139"/>
      <c r="NZ15" s="139"/>
      <c r="OA15" s="139"/>
      <c r="OB15" s="139"/>
      <c r="OC15" s="139"/>
      <c r="OD15" s="139"/>
      <c r="OE15" s="139"/>
      <c r="OF15" s="139"/>
      <c r="OG15" s="139"/>
      <c r="OH15" s="139"/>
      <c r="OI15" s="139"/>
      <c r="OJ15" s="139"/>
      <c r="OK15" s="139"/>
      <c r="OL15" s="139"/>
      <c r="OM15" s="139"/>
      <c r="ON15" s="139"/>
      <c r="OO15" s="139"/>
      <c r="OP15" s="139"/>
      <c r="OQ15" s="139"/>
      <c r="OR15" s="139"/>
      <c r="OS15" s="139"/>
      <c r="OT15" s="139"/>
      <c r="OU15" s="139"/>
      <c r="OV15" s="139"/>
      <c r="OW15" s="139"/>
      <c r="OX15" s="139"/>
      <c r="OY15" s="139"/>
      <c r="OZ15" s="139"/>
      <c r="PA15" s="139"/>
      <c r="PB15" s="139"/>
      <c r="PC15" s="139"/>
      <c r="PD15" s="139"/>
      <c r="PE15" s="139"/>
      <c r="PF15" s="139"/>
      <c r="PG15" s="139"/>
      <c r="PH15" s="139"/>
      <c r="PI15" s="139"/>
      <c r="PJ15" s="139"/>
      <c r="PK15" s="139"/>
      <c r="PL15" s="139"/>
      <c r="PM15" s="139"/>
      <c r="PN15" s="139"/>
      <c r="PO15" s="139"/>
      <c r="PP15" s="139"/>
      <c r="PQ15" s="139"/>
      <c r="PR15" s="139"/>
      <c r="PS15" s="139"/>
      <c r="PT15" s="139"/>
      <c r="PU15" s="139"/>
      <c r="PV15" s="139"/>
      <c r="PW15" s="139"/>
      <c r="PX15" s="139"/>
      <c r="PY15" s="139"/>
      <c r="PZ15" s="139"/>
      <c r="QA15" s="139"/>
      <c r="QB15" s="139"/>
      <c r="QC15" s="139"/>
      <c r="QD15" s="139"/>
      <c r="QE15" s="139"/>
      <c r="QF15" s="139"/>
      <c r="QG15" s="139"/>
      <c r="QH15" s="139"/>
      <c r="QI15" s="139"/>
      <c r="QJ15" s="139"/>
      <c r="QK15" s="139"/>
      <c r="QL15" s="139"/>
      <c r="QM15" s="139"/>
      <c r="QN15" s="139"/>
      <c r="QO15" s="139"/>
      <c r="QP15" s="139"/>
      <c r="QQ15" s="139"/>
      <c r="QR15" s="139"/>
      <c r="QS15" s="139"/>
      <c r="QT15" s="139"/>
      <c r="QU15" s="139"/>
      <c r="QV15" s="139"/>
      <c r="QW15" s="139"/>
      <c r="QX15" s="139"/>
      <c r="QY15" s="139"/>
      <c r="QZ15" s="139"/>
      <c r="RA15" s="139"/>
      <c r="RB15" s="139"/>
      <c r="RC15" s="139"/>
      <c r="RD15" s="139"/>
      <c r="RE15" s="139"/>
      <c r="RF15" s="139"/>
      <c r="RG15" s="139"/>
      <c r="RH15" s="139"/>
      <c r="RI15" s="139"/>
      <c r="RJ15" s="139"/>
      <c r="RK15" s="139"/>
      <c r="RL15" s="139"/>
      <c r="RM15" s="139"/>
      <c r="RN15" s="139"/>
      <c r="RO15" s="139"/>
      <c r="RP15" s="139"/>
      <c r="RQ15" s="139"/>
      <c r="RR15" s="139"/>
      <c r="RS15" s="139"/>
      <c r="RT15" s="139"/>
      <c r="RU15" s="139"/>
      <c r="RV15" s="139"/>
      <c r="RW15" s="139"/>
      <c r="RX15" s="139"/>
      <c r="RY15" s="139"/>
      <c r="RZ15" s="139"/>
      <c r="SA15" s="139"/>
      <c r="SB15" s="139"/>
      <c r="SC15" s="139"/>
      <c r="SD15" s="139"/>
      <c r="SE15" s="139"/>
      <c r="SF15" s="139"/>
      <c r="SG15" s="139"/>
      <c r="SH15" s="139"/>
      <c r="SI15" s="139"/>
      <c r="SJ15" s="139"/>
      <c r="SK15" s="139"/>
      <c r="SL15" s="139"/>
      <c r="SM15" s="139"/>
      <c r="SN15" s="139"/>
      <c r="SO15" s="139"/>
      <c r="SP15" s="139"/>
      <c r="SQ15" s="139"/>
      <c r="SR15" s="139"/>
      <c r="SS15" s="139"/>
      <c r="ST15" s="139"/>
      <c r="SU15" s="139"/>
      <c r="SV15" s="139"/>
      <c r="SW15" s="139"/>
      <c r="SX15" s="139"/>
      <c r="SY15" s="139"/>
      <c r="SZ15" s="139"/>
      <c r="TA15" s="139"/>
      <c r="TB15" s="139"/>
      <c r="TC15" s="139"/>
      <c r="TD15" s="139"/>
      <c r="TE15" s="139"/>
      <c r="TF15" s="139"/>
      <c r="TG15" s="139"/>
      <c r="TH15" s="139"/>
      <c r="TI15" s="139"/>
      <c r="TJ15" s="139"/>
      <c r="TK15" s="139"/>
      <c r="TL15" s="139"/>
      <c r="TM15" s="139"/>
      <c r="TN15" s="139"/>
      <c r="TO15" s="139"/>
      <c r="TP15" s="139"/>
      <c r="TQ15" s="139"/>
      <c r="TR15" s="139"/>
      <c r="TS15" s="139"/>
      <c r="TT15" s="139"/>
      <c r="TU15" s="139"/>
      <c r="TV15" s="139"/>
      <c r="TW15" s="139"/>
      <c r="TX15" s="139"/>
      <c r="TY15" s="139"/>
      <c r="TZ15" s="139"/>
      <c r="UA15" s="139"/>
      <c r="UB15" s="139"/>
      <c r="UC15" s="139"/>
      <c r="UD15" s="139"/>
      <c r="UE15" s="139"/>
      <c r="UF15" s="139"/>
      <c r="UG15" s="139"/>
      <c r="UH15" s="139"/>
      <c r="UI15" s="139"/>
      <c r="UJ15" s="139"/>
      <c r="UK15" s="139"/>
      <c r="UL15" s="139"/>
      <c r="UM15" s="139"/>
      <c r="UN15" s="139"/>
      <c r="UO15" s="139"/>
      <c r="UP15" s="139"/>
      <c r="UQ15" s="139"/>
      <c r="UR15" s="139"/>
      <c r="US15" s="139"/>
      <c r="UT15" s="139"/>
      <c r="UU15" s="139"/>
      <c r="UV15" s="139"/>
      <c r="UW15" s="139"/>
      <c r="UX15" s="139"/>
      <c r="UY15" s="139"/>
      <c r="UZ15" s="139"/>
      <c r="VA15" s="139"/>
      <c r="VB15" s="139"/>
      <c r="VC15" s="139"/>
      <c r="VD15" s="139"/>
      <c r="VE15" s="139"/>
      <c r="VF15" s="139"/>
      <c r="VG15" s="139"/>
      <c r="VH15" s="139"/>
      <c r="VI15" s="139"/>
      <c r="VJ15" s="139"/>
      <c r="VK15" s="139"/>
      <c r="VL15" s="139"/>
      <c r="VM15" s="139"/>
      <c r="VN15" s="139"/>
      <c r="VO15" s="139"/>
      <c r="VP15" s="139"/>
      <c r="VQ15" s="139"/>
      <c r="VR15" s="139"/>
      <c r="VS15" s="139"/>
      <c r="VT15" s="139"/>
      <c r="VU15" s="139"/>
      <c r="VV15" s="139"/>
      <c r="VW15" s="139"/>
      <c r="VX15" s="139"/>
      <c r="VY15" s="139"/>
      <c r="VZ15" s="139"/>
      <c r="WA15" s="139"/>
      <c r="WB15" s="139"/>
      <c r="WC15" s="139"/>
      <c r="WD15" s="139"/>
      <c r="WE15" s="139"/>
      <c r="WF15" s="139"/>
      <c r="WG15" s="139"/>
      <c r="WH15" s="139"/>
      <c r="WI15" s="139"/>
      <c r="WJ15" s="139"/>
      <c r="WK15" s="139"/>
      <c r="WL15" s="139"/>
      <c r="WM15" s="139"/>
      <c r="WN15" s="139"/>
      <c r="WO15" s="139"/>
      <c r="WP15" s="139"/>
      <c r="WQ15" s="139"/>
      <c r="WR15" s="139"/>
      <c r="WS15" s="139"/>
      <c r="WT15" s="139"/>
      <c r="WU15" s="139"/>
      <c r="WV15" s="139"/>
      <c r="WW15" s="139"/>
      <c r="WX15" s="139"/>
      <c r="WY15" s="139"/>
      <c r="WZ15" s="139"/>
      <c r="XA15" s="139"/>
      <c r="XB15" s="139"/>
      <c r="XC15" s="139"/>
      <c r="XD15" s="139"/>
      <c r="XE15" s="139"/>
      <c r="XF15" s="139"/>
      <c r="XG15" s="139"/>
      <c r="XH15" s="139"/>
      <c r="XI15" s="139"/>
      <c r="XJ15" s="139"/>
      <c r="XK15" s="139"/>
      <c r="XL15" s="139"/>
      <c r="XM15" s="139"/>
      <c r="XN15" s="139"/>
      <c r="XO15" s="139"/>
      <c r="XP15" s="139"/>
      <c r="XQ15" s="139"/>
      <c r="XR15" s="139"/>
      <c r="XS15" s="139"/>
      <c r="XT15" s="139"/>
      <c r="XU15" s="139"/>
      <c r="XV15" s="139"/>
      <c r="XW15" s="139"/>
      <c r="XX15" s="139"/>
      <c r="XY15" s="139"/>
      <c r="XZ15" s="139"/>
      <c r="YA15" s="139"/>
      <c r="YB15" s="139"/>
      <c r="YC15" s="139"/>
      <c r="YD15" s="139"/>
      <c r="YE15" s="139"/>
      <c r="YF15" s="139"/>
      <c r="YG15" s="139"/>
      <c r="YH15" s="139"/>
      <c r="YI15" s="139"/>
      <c r="YJ15" s="139"/>
      <c r="YK15" s="139"/>
      <c r="YL15" s="139"/>
      <c r="YM15" s="139"/>
      <c r="YN15" s="139"/>
      <c r="YO15" s="139"/>
      <c r="YP15" s="139"/>
      <c r="YQ15" s="139"/>
      <c r="YR15" s="139"/>
      <c r="YS15" s="139"/>
      <c r="YT15" s="139"/>
      <c r="YU15" s="139"/>
      <c r="YV15" s="139"/>
      <c r="YW15" s="139"/>
      <c r="YX15" s="139"/>
      <c r="YY15" s="139"/>
      <c r="YZ15" s="139"/>
      <c r="ZA15" s="139"/>
      <c r="ZB15" s="139"/>
      <c r="ZC15" s="139"/>
      <c r="ZD15" s="139"/>
      <c r="ZE15" s="139"/>
      <c r="ZF15" s="139"/>
      <c r="ZG15" s="139"/>
      <c r="ZH15" s="139"/>
      <c r="ZI15" s="139"/>
      <c r="ZJ15" s="139"/>
      <c r="ZK15" s="139"/>
      <c r="ZL15" s="139"/>
      <c r="ZM15" s="139"/>
      <c r="ZN15" s="139"/>
      <c r="ZO15" s="139"/>
      <c r="ZP15" s="139"/>
      <c r="ZQ15" s="139"/>
      <c r="ZR15" s="139"/>
      <c r="ZS15" s="139"/>
      <c r="ZT15" s="139"/>
      <c r="ZU15" s="139"/>
      <c r="ZV15" s="139"/>
      <c r="ZW15" s="139"/>
      <c r="ZX15" s="139"/>
      <c r="ZY15" s="139"/>
      <c r="ZZ15" s="139"/>
      <c r="AAA15" s="139"/>
      <c r="AAB15" s="139"/>
      <c r="AAC15" s="139"/>
      <c r="AAD15" s="139"/>
      <c r="AAE15" s="139"/>
      <c r="AAF15" s="139"/>
      <c r="AAG15" s="139"/>
      <c r="AAH15" s="139"/>
      <c r="AAI15" s="139"/>
      <c r="AAJ15" s="139"/>
      <c r="AAK15" s="139"/>
      <c r="AAL15" s="139"/>
      <c r="AAM15" s="139"/>
      <c r="AAN15" s="139"/>
      <c r="AAO15" s="139"/>
      <c r="AAP15" s="139"/>
      <c r="AAQ15" s="139"/>
      <c r="AAR15" s="139"/>
      <c r="AAS15" s="139"/>
      <c r="AAT15" s="139"/>
      <c r="AAU15" s="139"/>
      <c r="AAV15" s="139"/>
      <c r="AAW15" s="139"/>
      <c r="AAX15" s="139"/>
      <c r="AAY15" s="139"/>
      <c r="AAZ15" s="139"/>
      <c r="ABA15" s="139"/>
      <c r="ABB15" s="139"/>
      <c r="ABC15" s="139"/>
      <c r="ABD15" s="139"/>
      <c r="ABE15" s="139"/>
      <c r="ABF15" s="139"/>
      <c r="ABG15" s="139"/>
      <c r="ABH15" s="139"/>
      <c r="ABI15" s="139"/>
      <c r="ABJ15" s="139"/>
      <c r="ABK15" s="139"/>
      <c r="ABL15" s="139"/>
      <c r="ABM15" s="139"/>
      <c r="ABN15" s="139"/>
      <c r="ABO15" s="139"/>
      <c r="ABP15" s="139"/>
      <c r="ABQ15" s="139"/>
      <c r="ABR15" s="139"/>
      <c r="ABS15" s="139"/>
      <c r="ABT15" s="139"/>
      <c r="ABU15" s="139"/>
      <c r="ABV15" s="139"/>
      <c r="ABW15" s="139"/>
      <c r="ABX15" s="139"/>
      <c r="ABY15" s="139"/>
      <c r="ABZ15" s="139"/>
      <c r="ACA15" s="139"/>
      <c r="ACB15" s="139"/>
      <c r="ACC15" s="139"/>
      <c r="ACD15" s="139"/>
      <c r="ACE15" s="139"/>
      <c r="ACF15" s="139"/>
      <c r="ACG15" s="139"/>
      <c r="ACH15" s="139"/>
      <c r="ACI15" s="139"/>
      <c r="ACJ15" s="139"/>
      <c r="ACK15" s="139"/>
      <c r="ACL15" s="139"/>
      <c r="ACM15" s="139"/>
      <c r="ACN15" s="139"/>
      <c r="ACO15" s="139"/>
      <c r="ACP15" s="139"/>
      <c r="ACQ15" s="139"/>
      <c r="ACR15" s="139"/>
      <c r="ACS15" s="139"/>
      <c r="ACT15" s="139"/>
      <c r="ACU15" s="139"/>
      <c r="ACV15" s="139"/>
      <c r="ACW15" s="139"/>
      <c r="ACX15" s="139"/>
      <c r="ACY15" s="139"/>
      <c r="ACZ15" s="139"/>
      <c r="ADA15" s="139"/>
      <c r="ADB15" s="139"/>
      <c r="ADC15" s="139"/>
      <c r="ADD15" s="139"/>
      <c r="ADE15" s="139"/>
      <c r="ADF15" s="139"/>
      <c r="ADG15" s="139"/>
      <c r="ADH15" s="139"/>
      <c r="ADI15" s="139"/>
      <c r="ADJ15" s="139"/>
      <c r="ADK15" s="139"/>
      <c r="ADL15" s="139"/>
      <c r="ADM15" s="139"/>
      <c r="ADN15" s="139"/>
      <c r="ADO15" s="139"/>
      <c r="ADP15" s="139"/>
      <c r="ADQ15" s="139"/>
      <c r="ADR15" s="139"/>
      <c r="ADS15" s="139"/>
      <c r="ADT15" s="139"/>
      <c r="ADU15" s="139"/>
      <c r="ADV15" s="139"/>
      <c r="ADW15" s="139"/>
      <c r="ADX15" s="139"/>
      <c r="ADY15" s="139"/>
      <c r="ADZ15" s="139"/>
      <c r="AEA15" s="139"/>
      <c r="AEB15" s="139"/>
      <c r="AEC15" s="139"/>
      <c r="AED15" s="139"/>
      <c r="AEE15" s="139"/>
      <c r="AEF15" s="139"/>
      <c r="AEG15" s="139"/>
      <c r="AEH15" s="139"/>
      <c r="AEI15" s="139"/>
      <c r="AEJ15" s="139"/>
      <c r="AEK15" s="139"/>
      <c r="AEL15" s="139"/>
      <c r="AEM15" s="139"/>
      <c r="AEN15" s="139"/>
      <c r="AEO15" s="139"/>
      <c r="AEP15" s="139"/>
      <c r="AEQ15" s="139"/>
      <c r="AER15" s="139"/>
      <c r="AES15" s="139"/>
      <c r="AET15" s="139"/>
      <c r="AEU15" s="139"/>
      <c r="AEV15" s="139"/>
      <c r="AEW15" s="139"/>
      <c r="AEX15" s="139"/>
      <c r="AEY15" s="139"/>
      <c r="AEZ15" s="139"/>
      <c r="AFA15" s="139"/>
      <c r="AFB15" s="139"/>
      <c r="AFC15" s="139"/>
      <c r="AFD15" s="139"/>
      <c r="AFE15" s="139"/>
      <c r="AFF15" s="139"/>
      <c r="AFG15" s="139"/>
      <c r="AFH15" s="139"/>
      <c r="AFI15" s="139"/>
      <c r="AFJ15" s="139"/>
      <c r="AFK15" s="139"/>
      <c r="AFL15" s="139"/>
      <c r="AFM15" s="139"/>
      <c r="AFN15" s="139"/>
      <c r="AFO15" s="139"/>
      <c r="AFP15" s="139"/>
      <c r="AFQ15" s="139"/>
      <c r="AFR15" s="139"/>
      <c r="AFS15" s="139"/>
      <c r="AFT15" s="139"/>
      <c r="AFU15" s="139"/>
      <c r="AFV15" s="139"/>
      <c r="AFW15" s="139"/>
      <c r="AFX15" s="139"/>
      <c r="AFY15" s="139"/>
      <c r="AFZ15" s="139"/>
      <c r="AGA15" s="139"/>
      <c r="AGB15" s="139"/>
      <c r="AGC15" s="139"/>
      <c r="AGD15" s="139"/>
      <c r="AGE15" s="139"/>
      <c r="AGF15" s="139"/>
      <c r="AGG15" s="139"/>
      <c r="AGH15" s="139"/>
      <c r="AGI15" s="139"/>
      <c r="AGJ15" s="139"/>
      <c r="AGK15" s="139"/>
      <c r="AGL15" s="139"/>
      <c r="AGM15" s="139"/>
      <c r="AGN15" s="139"/>
      <c r="AGO15" s="139"/>
      <c r="AGP15" s="139"/>
      <c r="AGQ15" s="139"/>
      <c r="AGR15" s="139"/>
      <c r="AGS15" s="139"/>
      <c r="AGT15" s="139"/>
      <c r="AGU15" s="139"/>
      <c r="AGV15" s="139"/>
      <c r="AGW15" s="139"/>
      <c r="AGX15" s="139"/>
      <c r="AGY15" s="139"/>
      <c r="AGZ15" s="139"/>
      <c r="AHA15" s="139"/>
      <c r="AHB15" s="139"/>
      <c r="AHC15" s="139"/>
      <c r="AHD15" s="139"/>
      <c r="AHE15" s="139"/>
      <c r="AHF15" s="139"/>
      <c r="AHG15" s="139"/>
      <c r="AHH15" s="139"/>
      <c r="AHI15" s="139"/>
      <c r="AHJ15" s="139"/>
      <c r="AHK15" s="139"/>
      <c r="AHL15" s="139"/>
      <c r="AHM15" s="139"/>
      <c r="AHN15" s="139"/>
      <c r="AHO15" s="139"/>
      <c r="AHP15" s="139"/>
      <c r="AHQ15" s="139"/>
      <c r="AHR15" s="139"/>
      <c r="AHS15" s="139"/>
      <c r="AHT15" s="139"/>
      <c r="AHU15" s="139"/>
      <c r="AHV15" s="139"/>
      <c r="AHW15" s="139"/>
      <c r="AHX15" s="139"/>
      <c r="AHY15" s="139"/>
      <c r="AHZ15" s="139"/>
      <c r="AIA15" s="139"/>
      <c r="AIB15" s="139"/>
      <c r="AIC15" s="139"/>
      <c r="AID15" s="139"/>
      <c r="AIE15" s="139"/>
      <c r="AIF15" s="139"/>
      <c r="AIG15" s="139"/>
      <c r="AIH15" s="139"/>
      <c r="AII15" s="139"/>
      <c r="AIJ15" s="139"/>
      <c r="AIK15" s="139"/>
      <c r="AIL15" s="139"/>
      <c r="AIM15" s="139"/>
      <c r="AIN15" s="139"/>
      <c r="AIO15" s="139"/>
      <c r="AIP15" s="139"/>
      <c r="AIQ15" s="139"/>
      <c r="AIR15" s="139"/>
      <c r="AIS15" s="139"/>
      <c r="AIT15" s="139"/>
      <c r="AIU15" s="139"/>
      <c r="AIV15" s="139"/>
      <c r="AIW15" s="139"/>
      <c r="AIX15" s="139"/>
      <c r="AIY15" s="139"/>
      <c r="AIZ15" s="139"/>
      <c r="AJA15" s="139"/>
      <c r="AJB15" s="139"/>
      <c r="AJC15" s="139"/>
      <c r="AJD15" s="139"/>
      <c r="AJE15" s="139"/>
      <c r="AJF15" s="139"/>
      <c r="AJG15" s="139"/>
      <c r="AJH15" s="139"/>
      <c r="AJI15" s="139"/>
      <c r="AJJ15" s="139"/>
      <c r="AJK15" s="139"/>
      <c r="AJL15" s="139"/>
      <c r="AJM15" s="139"/>
      <c r="AJN15" s="139"/>
      <c r="AJO15" s="139"/>
      <c r="AJP15" s="139"/>
      <c r="AJQ15" s="139"/>
      <c r="AJR15" s="139"/>
      <c r="AJS15" s="139"/>
      <c r="AJT15" s="139"/>
      <c r="AJU15" s="139"/>
      <c r="AJV15" s="139"/>
      <c r="AJW15" s="139"/>
      <c r="AJX15" s="139"/>
      <c r="AJY15" s="139"/>
      <c r="AJZ15" s="139"/>
      <c r="AKA15" s="139"/>
      <c r="AKB15" s="139"/>
      <c r="AKC15" s="139"/>
      <c r="AKD15" s="139"/>
      <c r="AKE15" s="139"/>
      <c r="AKF15" s="139"/>
      <c r="AKG15" s="139"/>
      <c r="AKH15" s="139"/>
      <c r="AKI15" s="139"/>
      <c r="AKJ15" s="139"/>
      <c r="AKK15" s="139"/>
      <c r="AKL15" s="139"/>
      <c r="AKM15" s="139"/>
      <c r="AKN15" s="139"/>
      <c r="AKO15" s="139"/>
      <c r="AKP15" s="139"/>
      <c r="AKQ15" s="139"/>
      <c r="AKR15" s="139"/>
      <c r="AKS15" s="139"/>
      <c r="AKT15" s="139"/>
      <c r="AKU15" s="139"/>
      <c r="AKV15" s="139"/>
      <c r="AKW15" s="139"/>
      <c r="AKX15" s="139"/>
      <c r="AKY15" s="139"/>
      <c r="AKZ15" s="139"/>
      <c r="ALA15" s="139"/>
      <c r="ALB15" s="139"/>
      <c r="ALC15" s="139"/>
      <c r="ALD15" s="139"/>
      <c r="ALE15" s="139"/>
      <c r="ALF15" s="139"/>
      <c r="ALG15" s="139"/>
      <c r="ALH15" s="139"/>
      <c r="ALI15" s="139"/>
      <c r="ALJ15" s="139"/>
      <c r="ALK15" s="139"/>
      <c r="ALL15" s="139"/>
      <c r="ALM15" s="139"/>
      <c r="ALN15" s="139"/>
      <c r="ALO15" s="139"/>
      <c r="ALP15" s="139"/>
      <c r="ALQ15" s="139"/>
      <c r="ALR15" s="139"/>
      <c r="ALS15" s="139"/>
      <c r="ALT15" s="139"/>
      <c r="ALU15" s="139"/>
      <c r="ALV15" s="139"/>
      <c r="ALW15" s="139"/>
      <c r="ALX15" s="139"/>
      <c r="ALY15" s="139"/>
      <c r="ALZ15" s="139"/>
      <c r="AMA15" s="139"/>
      <c r="AMB15" s="139"/>
      <c r="AMC15" s="139"/>
      <c r="AMD15" s="139"/>
      <c r="AME15" s="139"/>
    </row>
    <row r="16" spans="1:1024" s="172" customFormat="1" x14ac:dyDescent="0.25">
      <c r="A16" s="168" t="s">
        <v>19</v>
      </c>
      <c r="B16" s="173">
        <f t="shared" ref="B16:J16" si="14">(B14-1)*B12+B15</f>
        <v>31</v>
      </c>
      <c r="C16" s="173">
        <f t="shared" si="14"/>
        <v>7</v>
      </c>
      <c r="D16" s="173">
        <f t="shared" si="14"/>
        <v>52.350000000000009</v>
      </c>
      <c r="E16" s="173">
        <f t="shared" si="14"/>
        <v>102.2</v>
      </c>
      <c r="F16" s="173">
        <f t="shared" si="14"/>
        <v>128301</v>
      </c>
      <c r="G16" s="173">
        <f t="shared" si="14"/>
        <v>2046</v>
      </c>
      <c r="H16" s="173">
        <f t="shared" si="14"/>
        <v>4095</v>
      </c>
      <c r="I16" s="173">
        <f t="shared" si="14"/>
        <v>1023</v>
      </c>
      <c r="J16" s="173">
        <f t="shared" si="14"/>
        <v>15</v>
      </c>
      <c r="K16" s="170"/>
    </row>
    <row r="17" spans="1:1024" s="140" customFormat="1" x14ac:dyDescent="0.25">
      <c r="A17" s="160" t="s">
        <v>20</v>
      </c>
      <c r="B17" s="100">
        <v>0</v>
      </c>
      <c r="C17" s="100">
        <v>0</v>
      </c>
      <c r="D17" s="100">
        <v>-45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61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39"/>
      <c r="EL17" s="139"/>
      <c r="EM17" s="139"/>
      <c r="EN17" s="139"/>
      <c r="EO17" s="139"/>
      <c r="EP17" s="139"/>
      <c r="EQ17" s="139"/>
      <c r="ER17" s="139"/>
      <c r="ES17" s="139"/>
      <c r="ET17" s="139"/>
      <c r="EU17" s="139"/>
      <c r="EV17" s="139"/>
      <c r="EW17" s="139"/>
      <c r="EX17" s="139"/>
      <c r="EY17" s="139"/>
      <c r="EZ17" s="139"/>
      <c r="FA17" s="139"/>
      <c r="FB17" s="139"/>
      <c r="FC17" s="139"/>
      <c r="FD17" s="139"/>
      <c r="FE17" s="139"/>
      <c r="FF17" s="139"/>
      <c r="FG17" s="139"/>
      <c r="FH17" s="139"/>
      <c r="FI17" s="139"/>
      <c r="FJ17" s="139"/>
      <c r="FK17" s="139"/>
      <c r="FL17" s="139"/>
      <c r="FM17" s="139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  <c r="GF17" s="139"/>
      <c r="GG17" s="139"/>
      <c r="GH17" s="139"/>
      <c r="GI17" s="139"/>
      <c r="GJ17" s="139"/>
      <c r="GK17" s="139"/>
      <c r="GL17" s="139"/>
      <c r="GM17" s="139"/>
      <c r="GN17" s="139"/>
      <c r="GO17" s="139"/>
      <c r="GP17" s="139"/>
      <c r="GQ17" s="139"/>
      <c r="GR17" s="139"/>
      <c r="GS17" s="139"/>
      <c r="GT17" s="139"/>
      <c r="GU17" s="139"/>
      <c r="GV17" s="139"/>
      <c r="GW17" s="139"/>
      <c r="GX17" s="139"/>
      <c r="GY17" s="139"/>
      <c r="GZ17" s="139"/>
      <c r="HA17" s="139"/>
      <c r="HB17" s="139"/>
      <c r="HC17" s="139"/>
      <c r="HD17" s="139"/>
      <c r="HE17" s="139"/>
      <c r="HF17" s="139"/>
      <c r="HG17" s="139"/>
      <c r="HH17" s="139"/>
      <c r="HI17" s="139"/>
      <c r="HJ17" s="139"/>
      <c r="HK17" s="139"/>
      <c r="HL17" s="139"/>
      <c r="HM17" s="139"/>
      <c r="HN17" s="139"/>
      <c r="HO17" s="139"/>
      <c r="HP17" s="139"/>
      <c r="HQ17" s="139"/>
      <c r="HR17" s="139"/>
      <c r="HS17" s="139"/>
      <c r="HT17" s="139"/>
      <c r="HU17" s="139"/>
      <c r="HV17" s="139"/>
      <c r="HW17" s="139"/>
      <c r="HX17" s="139"/>
      <c r="HY17" s="139"/>
      <c r="HZ17" s="139"/>
      <c r="IA17" s="139"/>
      <c r="IB17" s="139"/>
      <c r="IC17" s="139"/>
      <c r="ID17" s="139"/>
      <c r="IE17" s="139"/>
      <c r="IF17" s="139"/>
      <c r="IG17" s="139"/>
      <c r="IH17" s="139"/>
      <c r="II17" s="139"/>
      <c r="IJ17" s="139"/>
      <c r="IK17" s="139"/>
      <c r="IL17" s="139"/>
      <c r="IM17" s="139"/>
      <c r="IN17" s="139"/>
      <c r="IO17" s="139"/>
      <c r="IP17" s="139"/>
      <c r="IQ17" s="139"/>
      <c r="IR17" s="139"/>
      <c r="IS17" s="139"/>
      <c r="IT17" s="139"/>
      <c r="IU17" s="139"/>
      <c r="IV17" s="139"/>
      <c r="IW17" s="139"/>
      <c r="IX17" s="139"/>
      <c r="IY17" s="139"/>
      <c r="IZ17" s="139"/>
      <c r="JA17" s="139"/>
      <c r="JB17" s="139"/>
      <c r="JC17" s="139"/>
      <c r="JD17" s="139"/>
      <c r="JE17" s="139"/>
      <c r="JF17" s="139"/>
      <c r="JG17" s="139"/>
      <c r="JH17" s="139"/>
      <c r="JI17" s="139"/>
      <c r="JJ17" s="139"/>
      <c r="JK17" s="139"/>
      <c r="JL17" s="139"/>
      <c r="JM17" s="139"/>
      <c r="JN17" s="139"/>
      <c r="JO17" s="139"/>
      <c r="JP17" s="139"/>
      <c r="JQ17" s="139"/>
      <c r="JR17" s="139"/>
      <c r="JS17" s="139"/>
      <c r="JT17" s="139"/>
      <c r="JU17" s="139"/>
      <c r="JV17" s="139"/>
      <c r="JW17" s="139"/>
      <c r="JX17" s="139"/>
      <c r="JY17" s="139"/>
      <c r="JZ17" s="139"/>
      <c r="KA17" s="139"/>
      <c r="KB17" s="139"/>
      <c r="KC17" s="139"/>
      <c r="KD17" s="139"/>
      <c r="KE17" s="139"/>
      <c r="KF17" s="139"/>
      <c r="KG17" s="139"/>
      <c r="KH17" s="139"/>
      <c r="KI17" s="139"/>
      <c r="KJ17" s="139"/>
      <c r="KK17" s="139"/>
      <c r="KL17" s="139"/>
      <c r="KM17" s="139"/>
      <c r="KN17" s="139"/>
      <c r="KO17" s="139"/>
      <c r="KP17" s="139"/>
      <c r="KQ17" s="139"/>
      <c r="KR17" s="139"/>
      <c r="KS17" s="139"/>
      <c r="KT17" s="139"/>
      <c r="KU17" s="139"/>
      <c r="KV17" s="139"/>
      <c r="KW17" s="139"/>
      <c r="KX17" s="139"/>
      <c r="KY17" s="139"/>
      <c r="KZ17" s="139"/>
      <c r="LA17" s="139"/>
      <c r="LB17" s="139"/>
      <c r="LC17" s="139"/>
      <c r="LD17" s="139"/>
      <c r="LE17" s="139"/>
      <c r="LF17" s="139"/>
      <c r="LG17" s="139"/>
      <c r="LH17" s="139"/>
      <c r="LI17" s="139"/>
      <c r="LJ17" s="139"/>
      <c r="LK17" s="139"/>
      <c r="LL17" s="139"/>
      <c r="LM17" s="139"/>
      <c r="LN17" s="139"/>
      <c r="LO17" s="139"/>
      <c r="LP17" s="139"/>
      <c r="LQ17" s="139"/>
      <c r="LR17" s="139"/>
      <c r="LS17" s="139"/>
      <c r="LT17" s="139"/>
      <c r="LU17" s="139"/>
      <c r="LV17" s="139"/>
      <c r="LW17" s="139"/>
      <c r="LX17" s="139"/>
      <c r="LY17" s="139"/>
      <c r="LZ17" s="139"/>
      <c r="MA17" s="139"/>
      <c r="MB17" s="139"/>
      <c r="MC17" s="139"/>
      <c r="MD17" s="139"/>
      <c r="ME17" s="139"/>
      <c r="MF17" s="139"/>
      <c r="MG17" s="139"/>
      <c r="MH17" s="139"/>
      <c r="MI17" s="139"/>
      <c r="MJ17" s="139"/>
      <c r="MK17" s="139"/>
      <c r="ML17" s="139"/>
      <c r="MM17" s="139"/>
      <c r="MN17" s="139"/>
      <c r="MO17" s="139"/>
      <c r="MP17" s="139"/>
      <c r="MQ17" s="139"/>
      <c r="MR17" s="139"/>
      <c r="MS17" s="139"/>
      <c r="MT17" s="139"/>
      <c r="MU17" s="139"/>
      <c r="MV17" s="139"/>
      <c r="MW17" s="139"/>
      <c r="MX17" s="139"/>
      <c r="MY17" s="139"/>
      <c r="MZ17" s="139"/>
      <c r="NA17" s="139"/>
      <c r="NB17" s="139"/>
      <c r="NC17" s="139"/>
      <c r="ND17" s="139"/>
      <c r="NE17" s="139"/>
      <c r="NF17" s="139"/>
      <c r="NG17" s="139"/>
      <c r="NH17" s="139"/>
      <c r="NI17" s="139"/>
      <c r="NJ17" s="139"/>
      <c r="NK17" s="139"/>
      <c r="NL17" s="139"/>
      <c r="NM17" s="139"/>
      <c r="NN17" s="139"/>
      <c r="NO17" s="139"/>
      <c r="NP17" s="139"/>
      <c r="NQ17" s="139"/>
      <c r="NR17" s="139"/>
      <c r="NS17" s="139"/>
      <c r="NT17" s="139"/>
      <c r="NU17" s="139"/>
      <c r="NV17" s="139"/>
      <c r="NW17" s="139"/>
      <c r="NX17" s="139"/>
      <c r="NY17" s="139"/>
      <c r="NZ17" s="139"/>
      <c r="OA17" s="139"/>
      <c r="OB17" s="139"/>
      <c r="OC17" s="139"/>
      <c r="OD17" s="139"/>
      <c r="OE17" s="139"/>
      <c r="OF17" s="139"/>
      <c r="OG17" s="139"/>
      <c r="OH17" s="139"/>
      <c r="OI17" s="139"/>
      <c r="OJ17" s="139"/>
      <c r="OK17" s="139"/>
      <c r="OL17" s="139"/>
      <c r="OM17" s="139"/>
      <c r="ON17" s="139"/>
      <c r="OO17" s="139"/>
      <c r="OP17" s="139"/>
      <c r="OQ17" s="139"/>
      <c r="OR17" s="139"/>
      <c r="OS17" s="139"/>
      <c r="OT17" s="139"/>
      <c r="OU17" s="139"/>
      <c r="OV17" s="139"/>
      <c r="OW17" s="139"/>
      <c r="OX17" s="139"/>
      <c r="OY17" s="139"/>
      <c r="OZ17" s="139"/>
      <c r="PA17" s="139"/>
      <c r="PB17" s="139"/>
      <c r="PC17" s="139"/>
      <c r="PD17" s="139"/>
      <c r="PE17" s="139"/>
      <c r="PF17" s="139"/>
      <c r="PG17" s="139"/>
      <c r="PH17" s="139"/>
      <c r="PI17" s="139"/>
      <c r="PJ17" s="139"/>
      <c r="PK17" s="139"/>
      <c r="PL17" s="139"/>
      <c r="PM17" s="139"/>
      <c r="PN17" s="139"/>
      <c r="PO17" s="139"/>
      <c r="PP17" s="139"/>
      <c r="PQ17" s="139"/>
      <c r="PR17" s="139"/>
      <c r="PS17" s="139"/>
      <c r="PT17" s="139"/>
      <c r="PU17" s="139"/>
      <c r="PV17" s="139"/>
      <c r="PW17" s="139"/>
      <c r="PX17" s="139"/>
      <c r="PY17" s="139"/>
      <c r="PZ17" s="139"/>
      <c r="QA17" s="139"/>
      <c r="QB17" s="139"/>
      <c r="QC17" s="139"/>
      <c r="QD17" s="139"/>
      <c r="QE17" s="139"/>
      <c r="QF17" s="139"/>
      <c r="QG17" s="139"/>
      <c r="QH17" s="139"/>
      <c r="QI17" s="139"/>
      <c r="QJ17" s="139"/>
      <c r="QK17" s="139"/>
      <c r="QL17" s="139"/>
      <c r="QM17" s="139"/>
      <c r="QN17" s="139"/>
      <c r="QO17" s="139"/>
      <c r="QP17" s="139"/>
      <c r="QQ17" s="139"/>
      <c r="QR17" s="139"/>
      <c r="QS17" s="139"/>
      <c r="QT17" s="139"/>
      <c r="QU17" s="139"/>
      <c r="QV17" s="139"/>
      <c r="QW17" s="139"/>
      <c r="QX17" s="139"/>
      <c r="QY17" s="139"/>
      <c r="QZ17" s="139"/>
      <c r="RA17" s="139"/>
      <c r="RB17" s="139"/>
      <c r="RC17" s="139"/>
      <c r="RD17" s="139"/>
      <c r="RE17" s="139"/>
      <c r="RF17" s="139"/>
      <c r="RG17" s="139"/>
      <c r="RH17" s="139"/>
      <c r="RI17" s="139"/>
      <c r="RJ17" s="139"/>
      <c r="RK17" s="139"/>
      <c r="RL17" s="139"/>
      <c r="RM17" s="139"/>
      <c r="RN17" s="139"/>
      <c r="RO17" s="139"/>
      <c r="RP17" s="139"/>
      <c r="RQ17" s="139"/>
      <c r="RR17" s="139"/>
      <c r="RS17" s="139"/>
      <c r="RT17" s="139"/>
      <c r="RU17" s="139"/>
      <c r="RV17" s="139"/>
      <c r="RW17" s="139"/>
      <c r="RX17" s="139"/>
      <c r="RY17" s="139"/>
      <c r="RZ17" s="139"/>
      <c r="SA17" s="139"/>
      <c r="SB17" s="139"/>
      <c r="SC17" s="139"/>
      <c r="SD17" s="139"/>
      <c r="SE17" s="139"/>
      <c r="SF17" s="139"/>
      <c r="SG17" s="139"/>
      <c r="SH17" s="139"/>
      <c r="SI17" s="139"/>
      <c r="SJ17" s="139"/>
      <c r="SK17" s="139"/>
      <c r="SL17" s="139"/>
      <c r="SM17" s="139"/>
      <c r="SN17" s="139"/>
      <c r="SO17" s="139"/>
      <c r="SP17" s="139"/>
      <c r="SQ17" s="139"/>
      <c r="SR17" s="139"/>
      <c r="SS17" s="139"/>
      <c r="ST17" s="139"/>
      <c r="SU17" s="139"/>
      <c r="SV17" s="139"/>
      <c r="SW17" s="139"/>
      <c r="SX17" s="139"/>
      <c r="SY17" s="139"/>
      <c r="SZ17" s="139"/>
      <c r="TA17" s="139"/>
      <c r="TB17" s="139"/>
      <c r="TC17" s="139"/>
      <c r="TD17" s="139"/>
      <c r="TE17" s="139"/>
      <c r="TF17" s="139"/>
      <c r="TG17" s="139"/>
      <c r="TH17" s="139"/>
      <c r="TI17" s="139"/>
      <c r="TJ17" s="139"/>
      <c r="TK17" s="139"/>
      <c r="TL17" s="139"/>
      <c r="TM17" s="139"/>
      <c r="TN17" s="139"/>
      <c r="TO17" s="139"/>
      <c r="TP17" s="139"/>
      <c r="TQ17" s="139"/>
      <c r="TR17" s="139"/>
      <c r="TS17" s="139"/>
      <c r="TT17" s="139"/>
      <c r="TU17" s="139"/>
      <c r="TV17" s="139"/>
      <c r="TW17" s="139"/>
      <c r="TX17" s="139"/>
      <c r="TY17" s="139"/>
      <c r="TZ17" s="139"/>
      <c r="UA17" s="139"/>
      <c r="UB17" s="139"/>
      <c r="UC17" s="139"/>
      <c r="UD17" s="139"/>
      <c r="UE17" s="139"/>
      <c r="UF17" s="139"/>
      <c r="UG17" s="139"/>
      <c r="UH17" s="139"/>
      <c r="UI17" s="139"/>
      <c r="UJ17" s="139"/>
      <c r="UK17" s="139"/>
      <c r="UL17" s="139"/>
      <c r="UM17" s="139"/>
      <c r="UN17" s="139"/>
      <c r="UO17" s="139"/>
      <c r="UP17" s="139"/>
      <c r="UQ17" s="139"/>
      <c r="UR17" s="139"/>
      <c r="US17" s="139"/>
      <c r="UT17" s="139"/>
      <c r="UU17" s="139"/>
      <c r="UV17" s="139"/>
      <c r="UW17" s="139"/>
      <c r="UX17" s="139"/>
      <c r="UY17" s="139"/>
      <c r="UZ17" s="139"/>
      <c r="VA17" s="139"/>
      <c r="VB17" s="139"/>
      <c r="VC17" s="139"/>
      <c r="VD17" s="139"/>
      <c r="VE17" s="139"/>
      <c r="VF17" s="139"/>
      <c r="VG17" s="139"/>
      <c r="VH17" s="139"/>
      <c r="VI17" s="139"/>
      <c r="VJ17" s="139"/>
      <c r="VK17" s="139"/>
      <c r="VL17" s="139"/>
      <c r="VM17" s="139"/>
      <c r="VN17" s="139"/>
      <c r="VO17" s="139"/>
      <c r="VP17" s="139"/>
      <c r="VQ17" s="139"/>
      <c r="VR17" s="139"/>
      <c r="VS17" s="139"/>
      <c r="VT17" s="139"/>
      <c r="VU17" s="139"/>
      <c r="VV17" s="139"/>
      <c r="VW17" s="139"/>
      <c r="VX17" s="139"/>
      <c r="VY17" s="139"/>
      <c r="VZ17" s="139"/>
      <c r="WA17" s="139"/>
      <c r="WB17" s="139"/>
      <c r="WC17" s="139"/>
      <c r="WD17" s="139"/>
      <c r="WE17" s="139"/>
      <c r="WF17" s="139"/>
      <c r="WG17" s="139"/>
      <c r="WH17" s="139"/>
      <c r="WI17" s="139"/>
      <c r="WJ17" s="139"/>
      <c r="WK17" s="139"/>
      <c r="WL17" s="139"/>
      <c r="WM17" s="139"/>
      <c r="WN17" s="139"/>
      <c r="WO17" s="139"/>
      <c r="WP17" s="139"/>
      <c r="WQ17" s="139"/>
      <c r="WR17" s="139"/>
      <c r="WS17" s="139"/>
      <c r="WT17" s="139"/>
      <c r="WU17" s="139"/>
      <c r="WV17" s="139"/>
      <c r="WW17" s="139"/>
      <c r="WX17" s="139"/>
      <c r="WY17" s="139"/>
      <c r="WZ17" s="139"/>
      <c r="XA17" s="139"/>
      <c r="XB17" s="139"/>
      <c r="XC17" s="139"/>
      <c r="XD17" s="139"/>
      <c r="XE17" s="139"/>
      <c r="XF17" s="139"/>
      <c r="XG17" s="139"/>
      <c r="XH17" s="139"/>
      <c r="XI17" s="139"/>
      <c r="XJ17" s="139"/>
      <c r="XK17" s="139"/>
      <c r="XL17" s="139"/>
      <c r="XM17" s="139"/>
      <c r="XN17" s="139"/>
      <c r="XO17" s="139"/>
      <c r="XP17" s="139"/>
      <c r="XQ17" s="139"/>
      <c r="XR17" s="139"/>
      <c r="XS17" s="139"/>
      <c r="XT17" s="139"/>
      <c r="XU17" s="139"/>
      <c r="XV17" s="139"/>
      <c r="XW17" s="139"/>
      <c r="XX17" s="139"/>
      <c r="XY17" s="139"/>
      <c r="XZ17" s="139"/>
      <c r="YA17" s="139"/>
      <c r="YB17" s="139"/>
      <c r="YC17" s="139"/>
      <c r="YD17" s="139"/>
      <c r="YE17" s="139"/>
      <c r="YF17" s="139"/>
      <c r="YG17" s="139"/>
      <c r="YH17" s="139"/>
      <c r="YI17" s="139"/>
      <c r="YJ17" s="139"/>
      <c r="YK17" s="139"/>
      <c r="YL17" s="139"/>
      <c r="YM17" s="139"/>
      <c r="YN17" s="139"/>
      <c r="YO17" s="139"/>
      <c r="YP17" s="139"/>
      <c r="YQ17" s="139"/>
      <c r="YR17" s="139"/>
      <c r="YS17" s="139"/>
      <c r="YT17" s="139"/>
      <c r="YU17" s="139"/>
      <c r="YV17" s="139"/>
      <c r="YW17" s="139"/>
      <c r="YX17" s="139"/>
      <c r="YY17" s="139"/>
      <c r="YZ17" s="139"/>
      <c r="ZA17" s="139"/>
      <c r="ZB17" s="139"/>
      <c r="ZC17" s="139"/>
      <c r="ZD17" s="139"/>
      <c r="ZE17" s="139"/>
      <c r="ZF17" s="139"/>
      <c r="ZG17" s="139"/>
      <c r="ZH17" s="139"/>
      <c r="ZI17" s="139"/>
      <c r="ZJ17" s="139"/>
      <c r="ZK17" s="139"/>
      <c r="ZL17" s="139"/>
      <c r="ZM17" s="139"/>
      <c r="ZN17" s="139"/>
      <c r="ZO17" s="139"/>
      <c r="ZP17" s="139"/>
      <c r="ZQ17" s="139"/>
      <c r="ZR17" s="139"/>
      <c r="ZS17" s="139"/>
      <c r="ZT17" s="139"/>
      <c r="ZU17" s="139"/>
      <c r="ZV17" s="139"/>
      <c r="ZW17" s="139"/>
      <c r="ZX17" s="139"/>
      <c r="ZY17" s="139"/>
      <c r="ZZ17" s="139"/>
      <c r="AAA17" s="139"/>
      <c r="AAB17" s="139"/>
      <c r="AAC17" s="139"/>
      <c r="AAD17" s="139"/>
      <c r="AAE17" s="139"/>
      <c r="AAF17" s="139"/>
      <c r="AAG17" s="139"/>
      <c r="AAH17" s="139"/>
      <c r="AAI17" s="139"/>
      <c r="AAJ17" s="139"/>
      <c r="AAK17" s="139"/>
      <c r="AAL17" s="139"/>
      <c r="AAM17" s="139"/>
      <c r="AAN17" s="139"/>
      <c r="AAO17" s="139"/>
      <c r="AAP17" s="139"/>
      <c r="AAQ17" s="139"/>
      <c r="AAR17" s="139"/>
      <c r="AAS17" s="139"/>
      <c r="AAT17" s="139"/>
      <c r="AAU17" s="139"/>
      <c r="AAV17" s="139"/>
      <c r="AAW17" s="139"/>
      <c r="AAX17" s="139"/>
      <c r="AAY17" s="139"/>
      <c r="AAZ17" s="139"/>
      <c r="ABA17" s="139"/>
      <c r="ABB17" s="139"/>
      <c r="ABC17" s="139"/>
      <c r="ABD17" s="139"/>
      <c r="ABE17" s="139"/>
      <c r="ABF17" s="139"/>
      <c r="ABG17" s="139"/>
      <c r="ABH17" s="139"/>
      <c r="ABI17" s="139"/>
      <c r="ABJ17" s="139"/>
      <c r="ABK17" s="139"/>
      <c r="ABL17" s="139"/>
      <c r="ABM17" s="139"/>
      <c r="ABN17" s="139"/>
      <c r="ABO17" s="139"/>
      <c r="ABP17" s="139"/>
      <c r="ABQ17" s="139"/>
      <c r="ABR17" s="139"/>
      <c r="ABS17" s="139"/>
      <c r="ABT17" s="139"/>
      <c r="ABU17" s="139"/>
      <c r="ABV17" s="139"/>
      <c r="ABW17" s="139"/>
      <c r="ABX17" s="139"/>
      <c r="ABY17" s="139"/>
      <c r="ABZ17" s="139"/>
      <c r="ACA17" s="139"/>
      <c r="ACB17" s="139"/>
      <c r="ACC17" s="139"/>
      <c r="ACD17" s="139"/>
      <c r="ACE17" s="139"/>
      <c r="ACF17" s="139"/>
      <c r="ACG17" s="139"/>
      <c r="ACH17" s="139"/>
      <c r="ACI17" s="139"/>
      <c r="ACJ17" s="139"/>
      <c r="ACK17" s="139"/>
      <c r="ACL17" s="139"/>
      <c r="ACM17" s="139"/>
      <c r="ACN17" s="139"/>
      <c r="ACO17" s="139"/>
      <c r="ACP17" s="139"/>
      <c r="ACQ17" s="139"/>
      <c r="ACR17" s="139"/>
      <c r="ACS17" s="139"/>
      <c r="ACT17" s="139"/>
      <c r="ACU17" s="139"/>
      <c r="ACV17" s="139"/>
      <c r="ACW17" s="139"/>
      <c r="ACX17" s="139"/>
      <c r="ACY17" s="139"/>
      <c r="ACZ17" s="139"/>
      <c r="ADA17" s="139"/>
      <c r="ADB17" s="139"/>
      <c r="ADC17" s="139"/>
      <c r="ADD17" s="139"/>
      <c r="ADE17" s="139"/>
      <c r="ADF17" s="139"/>
      <c r="ADG17" s="139"/>
      <c r="ADH17" s="139"/>
      <c r="ADI17" s="139"/>
      <c r="ADJ17" s="139"/>
      <c r="ADK17" s="139"/>
      <c r="ADL17" s="139"/>
      <c r="ADM17" s="139"/>
      <c r="ADN17" s="139"/>
      <c r="ADO17" s="139"/>
      <c r="ADP17" s="139"/>
      <c r="ADQ17" s="139"/>
      <c r="ADR17" s="139"/>
      <c r="ADS17" s="139"/>
      <c r="ADT17" s="139"/>
      <c r="ADU17" s="139"/>
      <c r="ADV17" s="139"/>
      <c r="ADW17" s="139"/>
      <c r="ADX17" s="139"/>
      <c r="ADY17" s="139"/>
      <c r="ADZ17" s="139"/>
      <c r="AEA17" s="139"/>
      <c r="AEB17" s="139"/>
      <c r="AEC17" s="139"/>
      <c r="AED17" s="139"/>
      <c r="AEE17" s="139"/>
      <c r="AEF17" s="139"/>
      <c r="AEG17" s="139"/>
      <c r="AEH17" s="139"/>
      <c r="AEI17" s="139"/>
      <c r="AEJ17" s="139"/>
      <c r="AEK17" s="139"/>
      <c r="AEL17" s="139"/>
      <c r="AEM17" s="139"/>
      <c r="AEN17" s="139"/>
      <c r="AEO17" s="139"/>
      <c r="AEP17" s="139"/>
      <c r="AEQ17" s="139"/>
      <c r="AER17" s="139"/>
      <c r="AES17" s="139"/>
      <c r="AET17" s="139"/>
      <c r="AEU17" s="139"/>
      <c r="AEV17" s="139"/>
      <c r="AEW17" s="139"/>
      <c r="AEX17" s="139"/>
      <c r="AEY17" s="139"/>
      <c r="AEZ17" s="139"/>
      <c r="AFA17" s="139"/>
      <c r="AFB17" s="139"/>
      <c r="AFC17" s="139"/>
      <c r="AFD17" s="139"/>
      <c r="AFE17" s="139"/>
      <c r="AFF17" s="139"/>
      <c r="AFG17" s="139"/>
      <c r="AFH17" s="139"/>
      <c r="AFI17" s="139"/>
      <c r="AFJ17" s="139"/>
      <c r="AFK17" s="139"/>
      <c r="AFL17" s="139"/>
      <c r="AFM17" s="139"/>
      <c r="AFN17" s="139"/>
      <c r="AFO17" s="139"/>
      <c r="AFP17" s="139"/>
      <c r="AFQ17" s="139"/>
      <c r="AFR17" s="139"/>
      <c r="AFS17" s="139"/>
      <c r="AFT17" s="139"/>
      <c r="AFU17" s="139"/>
      <c r="AFV17" s="139"/>
      <c r="AFW17" s="139"/>
      <c r="AFX17" s="139"/>
      <c r="AFY17" s="139"/>
      <c r="AFZ17" s="139"/>
      <c r="AGA17" s="139"/>
      <c r="AGB17" s="139"/>
      <c r="AGC17" s="139"/>
      <c r="AGD17" s="139"/>
      <c r="AGE17" s="139"/>
      <c r="AGF17" s="139"/>
      <c r="AGG17" s="139"/>
      <c r="AGH17" s="139"/>
      <c r="AGI17" s="139"/>
      <c r="AGJ17" s="139"/>
      <c r="AGK17" s="139"/>
      <c r="AGL17" s="139"/>
      <c r="AGM17" s="139"/>
      <c r="AGN17" s="139"/>
      <c r="AGO17" s="139"/>
      <c r="AGP17" s="139"/>
      <c r="AGQ17" s="139"/>
      <c r="AGR17" s="139"/>
      <c r="AGS17" s="139"/>
      <c r="AGT17" s="139"/>
      <c r="AGU17" s="139"/>
      <c r="AGV17" s="139"/>
      <c r="AGW17" s="139"/>
      <c r="AGX17" s="139"/>
      <c r="AGY17" s="139"/>
      <c r="AGZ17" s="139"/>
      <c r="AHA17" s="139"/>
      <c r="AHB17" s="139"/>
      <c r="AHC17" s="139"/>
      <c r="AHD17" s="139"/>
      <c r="AHE17" s="139"/>
      <c r="AHF17" s="139"/>
      <c r="AHG17" s="139"/>
      <c r="AHH17" s="139"/>
      <c r="AHI17" s="139"/>
      <c r="AHJ17" s="139"/>
      <c r="AHK17" s="139"/>
      <c r="AHL17" s="139"/>
      <c r="AHM17" s="139"/>
      <c r="AHN17" s="139"/>
      <c r="AHO17" s="139"/>
      <c r="AHP17" s="139"/>
      <c r="AHQ17" s="139"/>
      <c r="AHR17" s="139"/>
      <c r="AHS17" s="139"/>
      <c r="AHT17" s="139"/>
      <c r="AHU17" s="139"/>
      <c r="AHV17" s="139"/>
      <c r="AHW17" s="139"/>
      <c r="AHX17" s="139"/>
      <c r="AHY17" s="139"/>
      <c r="AHZ17" s="139"/>
      <c r="AIA17" s="139"/>
      <c r="AIB17" s="139"/>
      <c r="AIC17" s="139"/>
      <c r="AID17" s="139"/>
      <c r="AIE17" s="139"/>
      <c r="AIF17" s="139"/>
      <c r="AIG17" s="139"/>
      <c r="AIH17" s="139"/>
      <c r="AII17" s="139"/>
      <c r="AIJ17" s="139"/>
      <c r="AIK17" s="139"/>
      <c r="AIL17" s="139"/>
      <c r="AIM17" s="139"/>
      <c r="AIN17" s="139"/>
      <c r="AIO17" s="139"/>
      <c r="AIP17" s="139"/>
      <c r="AIQ17" s="139"/>
      <c r="AIR17" s="139"/>
      <c r="AIS17" s="139"/>
      <c r="AIT17" s="139"/>
      <c r="AIU17" s="139"/>
      <c r="AIV17" s="139"/>
      <c r="AIW17" s="139"/>
      <c r="AIX17" s="139"/>
      <c r="AIY17" s="139"/>
      <c r="AIZ17" s="139"/>
      <c r="AJA17" s="139"/>
      <c r="AJB17" s="139"/>
      <c r="AJC17" s="139"/>
      <c r="AJD17" s="139"/>
      <c r="AJE17" s="139"/>
      <c r="AJF17" s="139"/>
      <c r="AJG17" s="139"/>
      <c r="AJH17" s="139"/>
      <c r="AJI17" s="139"/>
      <c r="AJJ17" s="139"/>
      <c r="AJK17" s="139"/>
      <c r="AJL17" s="139"/>
      <c r="AJM17" s="139"/>
      <c r="AJN17" s="139"/>
      <c r="AJO17" s="139"/>
      <c r="AJP17" s="139"/>
      <c r="AJQ17" s="139"/>
      <c r="AJR17" s="139"/>
      <c r="AJS17" s="139"/>
      <c r="AJT17" s="139"/>
      <c r="AJU17" s="139"/>
      <c r="AJV17" s="139"/>
      <c r="AJW17" s="139"/>
      <c r="AJX17" s="139"/>
      <c r="AJY17" s="139"/>
      <c r="AJZ17" s="139"/>
      <c r="AKA17" s="139"/>
      <c r="AKB17" s="139"/>
      <c r="AKC17" s="139"/>
      <c r="AKD17" s="139"/>
      <c r="AKE17" s="139"/>
      <c r="AKF17" s="139"/>
      <c r="AKG17" s="139"/>
      <c r="AKH17" s="139"/>
      <c r="AKI17" s="139"/>
      <c r="AKJ17" s="139"/>
      <c r="AKK17" s="139"/>
      <c r="AKL17" s="139"/>
      <c r="AKM17" s="139"/>
      <c r="AKN17" s="139"/>
      <c r="AKO17" s="139"/>
      <c r="AKP17" s="139"/>
      <c r="AKQ17" s="139"/>
      <c r="AKR17" s="139"/>
      <c r="AKS17" s="139"/>
      <c r="AKT17" s="139"/>
      <c r="AKU17" s="139"/>
      <c r="AKV17" s="139"/>
      <c r="AKW17" s="139"/>
      <c r="AKX17" s="139"/>
      <c r="AKY17" s="139"/>
      <c r="AKZ17" s="139"/>
      <c r="ALA17" s="139"/>
      <c r="ALB17" s="139"/>
      <c r="ALC17" s="139"/>
      <c r="ALD17" s="139"/>
      <c r="ALE17" s="139"/>
      <c r="ALF17" s="139"/>
      <c r="ALG17" s="139"/>
      <c r="ALH17" s="139"/>
      <c r="ALI17" s="139"/>
      <c r="ALJ17" s="139"/>
      <c r="ALK17" s="139"/>
      <c r="ALL17" s="139"/>
      <c r="ALM17" s="139"/>
      <c r="ALN17" s="139"/>
      <c r="ALO17" s="139"/>
      <c r="ALP17" s="139"/>
      <c r="ALQ17" s="139"/>
      <c r="ALR17" s="139"/>
      <c r="ALS17" s="139"/>
      <c r="ALT17" s="139"/>
      <c r="ALU17" s="139"/>
      <c r="ALV17" s="139"/>
      <c r="ALW17" s="139"/>
      <c r="ALX17" s="139"/>
      <c r="ALY17" s="139"/>
      <c r="ALZ17" s="139"/>
      <c r="AMA17" s="139"/>
      <c r="AMB17" s="139"/>
      <c r="AMC17" s="139"/>
      <c r="AMD17" s="139"/>
      <c r="AME17" s="139"/>
    </row>
    <row r="18" spans="1:1024" s="140" customFormat="1" ht="15.75" thickBot="1" x14ac:dyDescent="0.3">
      <c r="A18" s="174" t="s">
        <v>21</v>
      </c>
      <c r="B18" s="119">
        <v>31</v>
      </c>
      <c r="C18" s="119">
        <v>0</v>
      </c>
      <c r="D18" s="119">
        <v>52</v>
      </c>
      <c r="E18" s="119">
        <v>100</v>
      </c>
      <c r="F18" s="119">
        <v>108300</v>
      </c>
      <c r="G18" s="119">
        <v>1380</v>
      </c>
      <c r="H18" s="119">
        <v>4095</v>
      </c>
      <c r="I18" s="119">
        <v>0</v>
      </c>
      <c r="J18" s="119">
        <v>0</v>
      </c>
      <c r="K18" s="164">
        <f>8*L18</f>
        <v>80</v>
      </c>
      <c r="L18" s="121">
        <v>10</v>
      </c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39"/>
      <c r="EL18" s="139"/>
      <c r="EM18" s="139"/>
      <c r="EN18" s="139"/>
      <c r="EO18" s="139"/>
      <c r="EP18" s="139"/>
      <c r="EQ18" s="139"/>
      <c r="ER18" s="139"/>
      <c r="ES18" s="139"/>
      <c r="ET18" s="139"/>
      <c r="EU18" s="139"/>
      <c r="EV18" s="139"/>
      <c r="EW18" s="139"/>
      <c r="EX18" s="139"/>
      <c r="EY18" s="139"/>
      <c r="EZ18" s="139"/>
      <c r="FA18" s="139"/>
      <c r="FB18" s="139"/>
      <c r="FC18" s="139"/>
      <c r="FD18" s="139"/>
      <c r="FE18" s="139"/>
      <c r="FF18" s="139"/>
      <c r="FG18" s="139"/>
      <c r="FH18" s="139"/>
      <c r="FI18" s="139"/>
      <c r="FJ18" s="139"/>
      <c r="FK18" s="139"/>
      <c r="FL18" s="139"/>
      <c r="FM18" s="139"/>
      <c r="FN18" s="139"/>
      <c r="FO18" s="139"/>
      <c r="FP18" s="139"/>
      <c r="FQ18" s="139"/>
      <c r="FR18" s="139"/>
      <c r="FS18" s="139"/>
      <c r="FT18" s="139"/>
      <c r="FU18" s="139"/>
      <c r="FV18" s="139"/>
      <c r="FW18" s="139"/>
      <c r="FX18" s="139"/>
      <c r="FY18" s="139"/>
      <c r="FZ18" s="139"/>
      <c r="GA18" s="139"/>
      <c r="GB18" s="139"/>
      <c r="GC18" s="139"/>
      <c r="GD18" s="139"/>
      <c r="GE18" s="139"/>
      <c r="GF18" s="139"/>
      <c r="GG18" s="139"/>
      <c r="GH18" s="139"/>
      <c r="GI18" s="139"/>
      <c r="GJ18" s="139"/>
      <c r="GK18" s="139"/>
      <c r="GL18" s="139"/>
      <c r="GM18" s="139"/>
      <c r="GN18" s="139"/>
      <c r="GO18" s="139"/>
      <c r="GP18" s="139"/>
      <c r="GQ18" s="139"/>
      <c r="GR18" s="139"/>
      <c r="GS18" s="139"/>
      <c r="GT18" s="139"/>
      <c r="GU18" s="139"/>
      <c r="GV18" s="139"/>
      <c r="GW18" s="139"/>
      <c r="GX18" s="139"/>
      <c r="GY18" s="139"/>
      <c r="GZ18" s="139"/>
      <c r="HA18" s="139"/>
      <c r="HB18" s="139"/>
      <c r="HC18" s="139"/>
      <c r="HD18" s="139"/>
      <c r="HE18" s="139"/>
      <c r="HF18" s="139"/>
      <c r="HG18" s="139"/>
      <c r="HH18" s="139"/>
      <c r="HI18" s="139"/>
      <c r="HJ18" s="139"/>
      <c r="HK18" s="139"/>
      <c r="HL18" s="139"/>
      <c r="HM18" s="139"/>
      <c r="HN18" s="139"/>
      <c r="HO18" s="139"/>
      <c r="HP18" s="139"/>
      <c r="HQ18" s="139"/>
      <c r="HR18" s="139"/>
      <c r="HS18" s="139"/>
      <c r="HT18" s="139"/>
      <c r="HU18" s="139"/>
      <c r="HV18" s="139"/>
      <c r="HW18" s="139"/>
      <c r="HX18" s="139"/>
      <c r="HY18" s="139"/>
      <c r="HZ18" s="139"/>
      <c r="IA18" s="139"/>
      <c r="IB18" s="139"/>
      <c r="IC18" s="139"/>
      <c r="ID18" s="139"/>
      <c r="IE18" s="139"/>
      <c r="IF18" s="139"/>
      <c r="IG18" s="139"/>
      <c r="IH18" s="139"/>
      <c r="II18" s="139"/>
      <c r="IJ18" s="139"/>
      <c r="IK18" s="139"/>
      <c r="IL18" s="139"/>
      <c r="IM18" s="139"/>
      <c r="IN18" s="139"/>
      <c r="IO18" s="139"/>
      <c r="IP18" s="139"/>
      <c r="IQ18" s="139"/>
      <c r="IR18" s="139"/>
      <c r="IS18" s="139"/>
      <c r="IT18" s="139"/>
      <c r="IU18" s="139"/>
      <c r="IV18" s="139"/>
      <c r="IW18" s="139"/>
      <c r="IX18" s="139"/>
      <c r="IY18" s="139"/>
      <c r="IZ18" s="139"/>
      <c r="JA18" s="139"/>
      <c r="JB18" s="139"/>
      <c r="JC18" s="139"/>
      <c r="JD18" s="139"/>
      <c r="JE18" s="139"/>
      <c r="JF18" s="139"/>
      <c r="JG18" s="139"/>
      <c r="JH18" s="139"/>
      <c r="JI18" s="139"/>
      <c r="JJ18" s="139"/>
      <c r="JK18" s="139"/>
      <c r="JL18" s="139"/>
      <c r="JM18" s="139"/>
      <c r="JN18" s="139"/>
      <c r="JO18" s="139"/>
      <c r="JP18" s="139"/>
      <c r="JQ18" s="139"/>
      <c r="JR18" s="139"/>
      <c r="JS18" s="139"/>
      <c r="JT18" s="139"/>
      <c r="JU18" s="139"/>
      <c r="JV18" s="139"/>
      <c r="JW18" s="139"/>
      <c r="JX18" s="139"/>
      <c r="JY18" s="139"/>
      <c r="JZ18" s="139"/>
      <c r="KA18" s="139"/>
      <c r="KB18" s="139"/>
      <c r="KC18" s="139"/>
      <c r="KD18" s="139"/>
      <c r="KE18" s="139"/>
      <c r="KF18" s="139"/>
      <c r="KG18" s="139"/>
      <c r="KH18" s="139"/>
      <c r="KI18" s="139"/>
      <c r="KJ18" s="139"/>
      <c r="KK18" s="139"/>
      <c r="KL18" s="139"/>
      <c r="KM18" s="139"/>
      <c r="KN18" s="139"/>
      <c r="KO18" s="139"/>
      <c r="KP18" s="139"/>
      <c r="KQ18" s="139"/>
      <c r="KR18" s="139"/>
      <c r="KS18" s="139"/>
      <c r="KT18" s="139"/>
      <c r="KU18" s="139"/>
      <c r="KV18" s="139"/>
      <c r="KW18" s="139"/>
      <c r="KX18" s="139"/>
      <c r="KY18" s="139"/>
      <c r="KZ18" s="139"/>
      <c r="LA18" s="139"/>
      <c r="LB18" s="139"/>
      <c r="LC18" s="139"/>
      <c r="LD18" s="139"/>
      <c r="LE18" s="139"/>
      <c r="LF18" s="139"/>
      <c r="LG18" s="139"/>
      <c r="LH18" s="139"/>
      <c r="LI18" s="139"/>
      <c r="LJ18" s="139"/>
      <c r="LK18" s="139"/>
      <c r="LL18" s="139"/>
      <c r="LM18" s="139"/>
      <c r="LN18" s="139"/>
      <c r="LO18" s="139"/>
      <c r="LP18" s="139"/>
      <c r="LQ18" s="139"/>
      <c r="LR18" s="139"/>
      <c r="LS18" s="139"/>
      <c r="LT18" s="139"/>
      <c r="LU18" s="139"/>
      <c r="LV18" s="139"/>
      <c r="LW18" s="139"/>
      <c r="LX18" s="139"/>
      <c r="LY18" s="139"/>
      <c r="LZ18" s="139"/>
      <c r="MA18" s="139"/>
      <c r="MB18" s="139"/>
      <c r="MC18" s="139"/>
      <c r="MD18" s="139"/>
      <c r="ME18" s="139"/>
      <c r="MF18" s="139"/>
      <c r="MG18" s="139"/>
      <c r="MH18" s="139"/>
      <c r="MI18" s="139"/>
      <c r="MJ18" s="139"/>
      <c r="MK18" s="139"/>
      <c r="ML18" s="139"/>
      <c r="MM18" s="139"/>
      <c r="MN18" s="139"/>
      <c r="MO18" s="139"/>
      <c r="MP18" s="139"/>
      <c r="MQ18" s="139"/>
      <c r="MR18" s="139"/>
      <c r="MS18" s="139"/>
      <c r="MT18" s="139"/>
      <c r="MU18" s="139"/>
      <c r="MV18" s="139"/>
      <c r="MW18" s="139"/>
      <c r="MX18" s="139"/>
      <c r="MY18" s="139"/>
      <c r="MZ18" s="139"/>
      <c r="NA18" s="139"/>
      <c r="NB18" s="139"/>
      <c r="NC18" s="139"/>
      <c r="ND18" s="139"/>
      <c r="NE18" s="139"/>
      <c r="NF18" s="139"/>
      <c r="NG18" s="139"/>
      <c r="NH18" s="139"/>
      <c r="NI18" s="139"/>
      <c r="NJ18" s="139"/>
      <c r="NK18" s="139"/>
      <c r="NL18" s="139"/>
      <c r="NM18" s="139"/>
      <c r="NN18" s="139"/>
      <c r="NO18" s="139"/>
      <c r="NP18" s="139"/>
      <c r="NQ18" s="139"/>
      <c r="NR18" s="139"/>
      <c r="NS18" s="139"/>
      <c r="NT18" s="139"/>
      <c r="NU18" s="139"/>
      <c r="NV18" s="139"/>
      <c r="NW18" s="139"/>
      <c r="NX18" s="139"/>
      <c r="NY18" s="139"/>
      <c r="NZ18" s="139"/>
      <c r="OA18" s="139"/>
      <c r="OB18" s="139"/>
      <c r="OC18" s="139"/>
      <c r="OD18" s="139"/>
      <c r="OE18" s="139"/>
      <c r="OF18" s="139"/>
      <c r="OG18" s="139"/>
      <c r="OH18" s="139"/>
      <c r="OI18" s="139"/>
      <c r="OJ18" s="139"/>
      <c r="OK18" s="139"/>
      <c r="OL18" s="139"/>
      <c r="OM18" s="139"/>
      <c r="ON18" s="139"/>
      <c r="OO18" s="139"/>
      <c r="OP18" s="139"/>
      <c r="OQ18" s="139"/>
      <c r="OR18" s="139"/>
      <c r="OS18" s="139"/>
      <c r="OT18" s="139"/>
      <c r="OU18" s="139"/>
      <c r="OV18" s="139"/>
      <c r="OW18" s="139"/>
      <c r="OX18" s="139"/>
      <c r="OY18" s="139"/>
      <c r="OZ18" s="139"/>
      <c r="PA18" s="139"/>
      <c r="PB18" s="139"/>
      <c r="PC18" s="139"/>
      <c r="PD18" s="139"/>
      <c r="PE18" s="139"/>
      <c r="PF18" s="139"/>
      <c r="PG18" s="139"/>
      <c r="PH18" s="139"/>
      <c r="PI18" s="139"/>
      <c r="PJ18" s="139"/>
      <c r="PK18" s="139"/>
      <c r="PL18" s="139"/>
      <c r="PM18" s="139"/>
      <c r="PN18" s="139"/>
      <c r="PO18" s="139"/>
      <c r="PP18" s="139"/>
      <c r="PQ18" s="139"/>
      <c r="PR18" s="139"/>
      <c r="PS18" s="139"/>
      <c r="PT18" s="139"/>
      <c r="PU18" s="139"/>
      <c r="PV18" s="139"/>
      <c r="PW18" s="139"/>
      <c r="PX18" s="139"/>
      <c r="PY18" s="139"/>
      <c r="PZ18" s="139"/>
      <c r="QA18" s="139"/>
      <c r="QB18" s="139"/>
      <c r="QC18" s="139"/>
      <c r="QD18" s="139"/>
      <c r="QE18" s="139"/>
      <c r="QF18" s="139"/>
      <c r="QG18" s="139"/>
      <c r="QH18" s="139"/>
      <c r="QI18" s="139"/>
      <c r="QJ18" s="139"/>
      <c r="QK18" s="139"/>
      <c r="QL18" s="139"/>
      <c r="QM18" s="139"/>
      <c r="QN18" s="139"/>
      <c r="QO18" s="139"/>
      <c r="QP18" s="139"/>
      <c r="QQ18" s="139"/>
      <c r="QR18" s="139"/>
      <c r="QS18" s="139"/>
      <c r="QT18" s="139"/>
      <c r="QU18" s="139"/>
      <c r="QV18" s="139"/>
      <c r="QW18" s="139"/>
      <c r="QX18" s="139"/>
      <c r="QY18" s="139"/>
      <c r="QZ18" s="139"/>
      <c r="RA18" s="139"/>
      <c r="RB18" s="139"/>
      <c r="RC18" s="139"/>
      <c r="RD18" s="139"/>
      <c r="RE18" s="139"/>
      <c r="RF18" s="139"/>
      <c r="RG18" s="139"/>
      <c r="RH18" s="139"/>
      <c r="RI18" s="139"/>
      <c r="RJ18" s="139"/>
      <c r="RK18" s="139"/>
      <c r="RL18" s="139"/>
      <c r="RM18" s="139"/>
      <c r="RN18" s="139"/>
      <c r="RO18" s="139"/>
      <c r="RP18" s="139"/>
      <c r="RQ18" s="139"/>
      <c r="RR18" s="139"/>
      <c r="RS18" s="139"/>
      <c r="RT18" s="139"/>
      <c r="RU18" s="139"/>
      <c r="RV18" s="139"/>
      <c r="RW18" s="139"/>
      <c r="RX18" s="139"/>
      <c r="RY18" s="139"/>
      <c r="RZ18" s="139"/>
      <c r="SA18" s="139"/>
      <c r="SB18" s="139"/>
      <c r="SC18" s="139"/>
      <c r="SD18" s="139"/>
      <c r="SE18" s="139"/>
      <c r="SF18" s="139"/>
      <c r="SG18" s="139"/>
      <c r="SH18" s="139"/>
      <c r="SI18" s="139"/>
      <c r="SJ18" s="139"/>
      <c r="SK18" s="139"/>
      <c r="SL18" s="139"/>
      <c r="SM18" s="139"/>
      <c r="SN18" s="139"/>
      <c r="SO18" s="139"/>
      <c r="SP18" s="139"/>
      <c r="SQ18" s="139"/>
      <c r="SR18" s="139"/>
      <c r="SS18" s="139"/>
      <c r="ST18" s="139"/>
      <c r="SU18" s="139"/>
      <c r="SV18" s="139"/>
      <c r="SW18" s="139"/>
      <c r="SX18" s="139"/>
      <c r="SY18" s="139"/>
      <c r="SZ18" s="139"/>
      <c r="TA18" s="139"/>
      <c r="TB18" s="139"/>
      <c r="TC18" s="139"/>
      <c r="TD18" s="139"/>
      <c r="TE18" s="139"/>
      <c r="TF18" s="139"/>
      <c r="TG18" s="139"/>
      <c r="TH18" s="139"/>
      <c r="TI18" s="139"/>
      <c r="TJ18" s="139"/>
      <c r="TK18" s="139"/>
      <c r="TL18" s="139"/>
      <c r="TM18" s="139"/>
      <c r="TN18" s="139"/>
      <c r="TO18" s="139"/>
      <c r="TP18" s="139"/>
      <c r="TQ18" s="139"/>
      <c r="TR18" s="139"/>
      <c r="TS18" s="139"/>
      <c r="TT18" s="139"/>
      <c r="TU18" s="139"/>
      <c r="TV18" s="139"/>
      <c r="TW18" s="139"/>
      <c r="TX18" s="139"/>
      <c r="TY18" s="139"/>
      <c r="TZ18" s="139"/>
      <c r="UA18" s="139"/>
      <c r="UB18" s="139"/>
      <c r="UC18" s="139"/>
      <c r="UD18" s="139"/>
      <c r="UE18" s="139"/>
      <c r="UF18" s="139"/>
      <c r="UG18" s="139"/>
      <c r="UH18" s="139"/>
      <c r="UI18" s="139"/>
      <c r="UJ18" s="139"/>
      <c r="UK18" s="139"/>
      <c r="UL18" s="139"/>
      <c r="UM18" s="139"/>
      <c r="UN18" s="139"/>
      <c r="UO18" s="139"/>
      <c r="UP18" s="139"/>
      <c r="UQ18" s="139"/>
      <c r="UR18" s="139"/>
      <c r="US18" s="139"/>
      <c r="UT18" s="139"/>
      <c r="UU18" s="139"/>
      <c r="UV18" s="139"/>
      <c r="UW18" s="139"/>
      <c r="UX18" s="139"/>
      <c r="UY18" s="139"/>
      <c r="UZ18" s="139"/>
      <c r="VA18" s="139"/>
      <c r="VB18" s="139"/>
      <c r="VC18" s="139"/>
      <c r="VD18" s="139"/>
      <c r="VE18" s="139"/>
      <c r="VF18" s="139"/>
      <c r="VG18" s="139"/>
      <c r="VH18" s="139"/>
      <c r="VI18" s="139"/>
      <c r="VJ18" s="139"/>
      <c r="VK18" s="139"/>
      <c r="VL18" s="139"/>
      <c r="VM18" s="139"/>
      <c r="VN18" s="139"/>
      <c r="VO18" s="139"/>
      <c r="VP18" s="139"/>
      <c r="VQ18" s="139"/>
      <c r="VR18" s="139"/>
      <c r="VS18" s="139"/>
      <c r="VT18" s="139"/>
      <c r="VU18" s="139"/>
      <c r="VV18" s="139"/>
      <c r="VW18" s="139"/>
      <c r="VX18" s="139"/>
      <c r="VY18" s="139"/>
      <c r="VZ18" s="139"/>
      <c r="WA18" s="139"/>
      <c r="WB18" s="139"/>
      <c r="WC18" s="139"/>
      <c r="WD18" s="139"/>
      <c r="WE18" s="139"/>
      <c r="WF18" s="139"/>
      <c r="WG18" s="139"/>
      <c r="WH18" s="139"/>
      <c r="WI18" s="139"/>
      <c r="WJ18" s="139"/>
      <c r="WK18" s="139"/>
      <c r="WL18" s="139"/>
      <c r="WM18" s="139"/>
      <c r="WN18" s="139"/>
      <c r="WO18" s="139"/>
      <c r="WP18" s="139"/>
      <c r="WQ18" s="139"/>
      <c r="WR18" s="139"/>
      <c r="WS18" s="139"/>
      <c r="WT18" s="139"/>
      <c r="WU18" s="139"/>
      <c r="WV18" s="139"/>
      <c r="WW18" s="139"/>
      <c r="WX18" s="139"/>
      <c r="WY18" s="139"/>
      <c r="WZ18" s="139"/>
      <c r="XA18" s="139"/>
      <c r="XB18" s="139"/>
      <c r="XC18" s="139"/>
      <c r="XD18" s="139"/>
      <c r="XE18" s="139"/>
      <c r="XF18" s="139"/>
      <c r="XG18" s="139"/>
      <c r="XH18" s="139"/>
      <c r="XI18" s="139"/>
      <c r="XJ18" s="139"/>
      <c r="XK18" s="139"/>
      <c r="XL18" s="139"/>
      <c r="XM18" s="139"/>
      <c r="XN18" s="139"/>
      <c r="XO18" s="139"/>
      <c r="XP18" s="139"/>
      <c r="XQ18" s="139"/>
      <c r="XR18" s="139"/>
      <c r="XS18" s="139"/>
      <c r="XT18" s="139"/>
      <c r="XU18" s="139"/>
      <c r="XV18" s="139"/>
      <c r="XW18" s="139"/>
      <c r="XX18" s="139"/>
      <c r="XY18" s="139"/>
      <c r="XZ18" s="139"/>
      <c r="YA18" s="139"/>
      <c r="YB18" s="139"/>
      <c r="YC18" s="139"/>
      <c r="YD18" s="139"/>
      <c r="YE18" s="139"/>
      <c r="YF18" s="139"/>
      <c r="YG18" s="139"/>
      <c r="YH18" s="139"/>
      <c r="YI18" s="139"/>
      <c r="YJ18" s="139"/>
      <c r="YK18" s="139"/>
      <c r="YL18" s="139"/>
      <c r="YM18" s="139"/>
      <c r="YN18" s="139"/>
      <c r="YO18" s="139"/>
      <c r="YP18" s="139"/>
      <c r="YQ18" s="139"/>
      <c r="YR18" s="139"/>
      <c r="YS18" s="139"/>
      <c r="YT18" s="139"/>
      <c r="YU18" s="139"/>
      <c r="YV18" s="139"/>
      <c r="YW18" s="139"/>
      <c r="YX18" s="139"/>
      <c r="YY18" s="139"/>
      <c r="YZ18" s="139"/>
      <c r="ZA18" s="139"/>
      <c r="ZB18" s="139"/>
      <c r="ZC18" s="139"/>
      <c r="ZD18" s="139"/>
      <c r="ZE18" s="139"/>
      <c r="ZF18" s="139"/>
      <c r="ZG18" s="139"/>
      <c r="ZH18" s="139"/>
      <c r="ZI18" s="139"/>
      <c r="ZJ18" s="139"/>
      <c r="ZK18" s="139"/>
      <c r="ZL18" s="139"/>
      <c r="ZM18" s="139"/>
      <c r="ZN18" s="139"/>
      <c r="ZO18" s="139"/>
      <c r="ZP18" s="139"/>
      <c r="ZQ18" s="139"/>
      <c r="ZR18" s="139"/>
      <c r="ZS18" s="139"/>
      <c r="ZT18" s="139"/>
      <c r="ZU18" s="139"/>
      <c r="ZV18" s="139"/>
      <c r="ZW18" s="139"/>
      <c r="ZX18" s="139"/>
      <c r="ZY18" s="139"/>
      <c r="ZZ18" s="139"/>
      <c r="AAA18" s="139"/>
      <c r="AAB18" s="139"/>
      <c r="AAC18" s="139"/>
      <c r="AAD18" s="139"/>
      <c r="AAE18" s="139"/>
      <c r="AAF18" s="139"/>
      <c r="AAG18" s="139"/>
      <c r="AAH18" s="139"/>
      <c r="AAI18" s="139"/>
      <c r="AAJ18" s="139"/>
      <c r="AAK18" s="139"/>
      <c r="AAL18" s="139"/>
      <c r="AAM18" s="139"/>
      <c r="AAN18" s="139"/>
      <c r="AAO18" s="139"/>
      <c r="AAP18" s="139"/>
      <c r="AAQ18" s="139"/>
      <c r="AAR18" s="139"/>
      <c r="AAS18" s="139"/>
      <c r="AAT18" s="139"/>
      <c r="AAU18" s="139"/>
      <c r="AAV18" s="139"/>
      <c r="AAW18" s="139"/>
      <c r="AAX18" s="139"/>
      <c r="AAY18" s="139"/>
      <c r="AAZ18" s="139"/>
      <c r="ABA18" s="139"/>
      <c r="ABB18" s="139"/>
      <c r="ABC18" s="139"/>
      <c r="ABD18" s="139"/>
      <c r="ABE18" s="139"/>
      <c r="ABF18" s="139"/>
      <c r="ABG18" s="139"/>
      <c r="ABH18" s="139"/>
      <c r="ABI18" s="139"/>
      <c r="ABJ18" s="139"/>
      <c r="ABK18" s="139"/>
      <c r="ABL18" s="139"/>
      <c r="ABM18" s="139"/>
      <c r="ABN18" s="139"/>
      <c r="ABO18" s="139"/>
      <c r="ABP18" s="139"/>
      <c r="ABQ18" s="139"/>
      <c r="ABR18" s="139"/>
      <c r="ABS18" s="139"/>
      <c r="ABT18" s="139"/>
      <c r="ABU18" s="139"/>
      <c r="ABV18" s="139"/>
      <c r="ABW18" s="139"/>
      <c r="ABX18" s="139"/>
      <c r="ABY18" s="139"/>
      <c r="ABZ18" s="139"/>
      <c r="ACA18" s="139"/>
      <c r="ACB18" s="139"/>
      <c r="ACC18" s="139"/>
      <c r="ACD18" s="139"/>
      <c r="ACE18" s="139"/>
      <c r="ACF18" s="139"/>
      <c r="ACG18" s="139"/>
      <c r="ACH18" s="139"/>
      <c r="ACI18" s="139"/>
      <c r="ACJ18" s="139"/>
      <c r="ACK18" s="139"/>
      <c r="ACL18" s="139"/>
      <c r="ACM18" s="139"/>
      <c r="ACN18" s="139"/>
      <c r="ACO18" s="139"/>
      <c r="ACP18" s="139"/>
      <c r="ACQ18" s="139"/>
      <c r="ACR18" s="139"/>
      <c r="ACS18" s="139"/>
      <c r="ACT18" s="139"/>
      <c r="ACU18" s="139"/>
      <c r="ACV18" s="139"/>
      <c r="ACW18" s="139"/>
      <c r="ACX18" s="139"/>
      <c r="ACY18" s="139"/>
      <c r="ACZ18" s="139"/>
      <c r="ADA18" s="139"/>
      <c r="ADB18" s="139"/>
      <c r="ADC18" s="139"/>
      <c r="ADD18" s="139"/>
      <c r="ADE18" s="139"/>
      <c r="ADF18" s="139"/>
      <c r="ADG18" s="139"/>
      <c r="ADH18" s="139"/>
      <c r="ADI18" s="139"/>
      <c r="ADJ18" s="139"/>
      <c r="ADK18" s="139"/>
      <c r="ADL18" s="139"/>
      <c r="ADM18" s="139"/>
      <c r="ADN18" s="139"/>
      <c r="ADO18" s="139"/>
      <c r="ADP18" s="139"/>
      <c r="ADQ18" s="139"/>
      <c r="ADR18" s="139"/>
      <c r="ADS18" s="139"/>
      <c r="ADT18" s="139"/>
      <c r="ADU18" s="139"/>
      <c r="ADV18" s="139"/>
      <c r="ADW18" s="139"/>
      <c r="ADX18" s="139"/>
      <c r="ADY18" s="139"/>
      <c r="ADZ18" s="139"/>
      <c r="AEA18" s="139"/>
      <c r="AEB18" s="139"/>
      <c r="AEC18" s="139"/>
      <c r="AED18" s="139"/>
      <c r="AEE18" s="139"/>
      <c r="AEF18" s="139"/>
      <c r="AEG18" s="139"/>
      <c r="AEH18" s="139"/>
      <c r="AEI18" s="139"/>
      <c r="AEJ18" s="139"/>
      <c r="AEK18" s="139"/>
      <c r="AEL18" s="139"/>
      <c r="AEM18" s="139"/>
      <c r="AEN18" s="139"/>
      <c r="AEO18" s="139"/>
      <c r="AEP18" s="139"/>
      <c r="AEQ18" s="139"/>
      <c r="AER18" s="139"/>
      <c r="AES18" s="139"/>
      <c r="AET18" s="139"/>
      <c r="AEU18" s="139"/>
      <c r="AEV18" s="139"/>
      <c r="AEW18" s="139"/>
      <c r="AEX18" s="139"/>
      <c r="AEY18" s="139"/>
      <c r="AEZ18" s="139"/>
      <c r="AFA18" s="139"/>
      <c r="AFB18" s="139"/>
      <c r="AFC18" s="139"/>
      <c r="AFD18" s="139"/>
      <c r="AFE18" s="139"/>
      <c r="AFF18" s="139"/>
      <c r="AFG18" s="139"/>
      <c r="AFH18" s="139"/>
      <c r="AFI18" s="139"/>
      <c r="AFJ18" s="139"/>
      <c r="AFK18" s="139"/>
      <c r="AFL18" s="139"/>
      <c r="AFM18" s="139"/>
      <c r="AFN18" s="139"/>
      <c r="AFO18" s="139"/>
      <c r="AFP18" s="139"/>
      <c r="AFQ18" s="139"/>
      <c r="AFR18" s="139"/>
      <c r="AFS18" s="139"/>
      <c r="AFT18" s="139"/>
      <c r="AFU18" s="139"/>
      <c r="AFV18" s="139"/>
      <c r="AFW18" s="139"/>
      <c r="AFX18" s="139"/>
      <c r="AFY18" s="139"/>
      <c r="AFZ18" s="139"/>
      <c r="AGA18" s="139"/>
      <c r="AGB18" s="139"/>
      <c r="AGC18" s="139"/>
      <c r="AGD18" s="139"/>
      <c r="AGE18" s="139"/>
      <c r="AGF18" s="139"/>
      <c r="AGG18" s="139"/>
      <c r="AGH18" s="139"/>
      <c r="AGI18" s="139"/>
      <c r="AGJ18" s="139"/>
      <c r="AGK18" s="139"/>
      <c r="AGL18" s="139"/>
      <c r="AGM18" s="139"/>
      <c r="AGN18" s="139"/>
      <c r="AGO18" s="139"/>
      <c r="AGP18" s="139"/>
      <c r="AGQ18" s="139"/>
      <c r="AGR18" s="139"/>
      <c r="AGS18" s="139"/>
      <c r="AGT18" s="139"/>
      <c r="AGU18" s="139"/>
      <c r="AGV18" s="139"/>
      <c r="AGW18" s="139"/>
      <c r="AGX18" s="139"/>
      <c r="AGY18" s="139"/>
      <c r="AGZ18" s="139"/>
      <c r="AHA18" s="139"/>
      <c r="AHB18" s="139"/>
      <c r="AHC18" s="139"/>
      <c r="AHD18" s="139"/>
      <c r="AHE18" s="139"/>
      <c r="AHF18" s="139"/>
      <c r="AHG18" s="139"/>
      <c r="AHH18" s="139"/>
      <c r="AHI18" s="139"/>
      <c r="AHJ18" s="139"/>
      <c r="AHK18" s="139"/>
      <c r="AHL18" s="139"/>
      <c r="AHM18" s="139"/>
      <c r="AHN18" s="139"/>
      <c r="AHO18" s="139"/>
      <c r="AHP18" s="139"/>
      <c r="AHQ18" s="139"/>
      <c r="AHR18" s="139"/>
      <c r="AHS18" s="139"/>
      <c r="AHT18" s="139"/>
      <c r="AHU18" s="139"/>
      <c r="AHV18" s="139"/>
      <c r="AHW18" s="139"/>
      <c r="AHX18" s="139"/>
      <c r="AHY18" s="139"/>
      <c r="AHZ18" s="139"/>
      <c r="AIA18" s="139"/>
      <c r="AIB18" s="139"/>
      <c r="AIC18" s="139"/>
      <c r="AID18" s="139"/>
      <c r="AIE18" s="139"/>
      <c r="AIF18" s="139"/>
      <c r="AIG18" s="139"/>
      <c r="AIH18" s="139"/>
      <c r="AII18" s="139"/>
      <c r="AIJ18" s="139"/>
      <c r="AIK18" s="139"/>
      <c r="AIL18" s="139"/>
      <c r="AIM18" s="139"/>
      <c r="AIN18" s="139"/>
      <c r="AIO18" s="139"/>
      <c r="AIP18" s="139"/>
      <c r="AIQ18" s="139"/>
      <c r="AIR18" s="139"/>
      <c r="AIS18" s="139"/>
      <c r="AIT18" s="139"/>
      <c r="AIU18" s="139"/>
      <c r="AIV18" s="139"/>
      <c r="AIW18" s="139"/>
      <c r="AIX18" s="139"/>
      <c r="AIY18" s="139"/>
      <c r="AIZ18" s="139"/>
      <c r="AJA18" s="139"/>
      <c r="AJB18" s="139"/>
      <c r="AJC18" s="139"/>
      <c r="AJD18" s="139"/>
      <c r="AJE18" s="139"/>
      <c r="AJF18" s="139"/>
      <c r="AJG18" s="139"/>
      <c r="AJH18" s="139"/>
      <c r="AJI18" s="139"/>
      <c r="AJJ18" s="139"/>
      <c r="AJK18" s="139"/>
      <c r="AJL18" s="139"/>
      <c r="AJM18" s="139"/>
      <c r="AJN18" s="139"/>
      <c r="AJO18" s="139"/>
      <c r="AJP18" s="139"/>
      <c r="AJQ18" s="139"/>
      <c r="AJR18" s="139"/>
      <c r="AJS18" s="139"/>
      <c r="AJT18" s="139"/>
      <c r="AJU18" s="139"/>
      <c r="AJV18" s="139"/>
      <c r="AJW18" s="139"/>
      <c r="AJX18" s="139"/>
      <c r="AJY18" s="139"/>
      <c r="AJZ18" s="139"/>
      <c r="AKA18" s="139"/>
      <c r="AKB18" s="139"/>
      <c r="AKC18" s="139"/>
      <c r="AKD18" s="139"/>
      <c r="AKE18" s="139"/>
      <c r="AKF18" s="139"/>
      <c r="AKG18" s="139"/>
      <c r="AKH18" s="139"/>
      <c r="AKI18" s="139"/>
      <c r="AKJ18" s="139"/>
      <c r="AKK18" s="139"/>
      <c r="AKL18" s="139"/>
      <c r="AKM18" s="139"/>
      <c r="AKN18" s="139"/>
      <c r="AKO18" s="139"/>
      <c r="AKP18" s="139"/>
      <c r="AKQ18" s="139"/>
      <c r="AKR18" s="139"/>
      <c r="AKS18" s="139"/>
      <c r="AKT18" s="139"/>
      <c r="AKU18" s="139"/>
      <c r="AKV18" s="139"/>
      <c r="AKW18" s="139"/>
      <c r="AKX18" s="139"/>
      <c r="AKY18" s="139"/>
      <c r="AKZ18" s="139"/>
      <c r="ALA18" s="139"/>
      <c r="ALB18" s="139"/>
      <c r="ALC18" s="139"/>
      <c r="ALD18" s="139"/>
      <c r="ALE18" s="139"/>
      <c r="ALF18" s="139"/>
      <c r="ALG18" s="139"/>
      <c r="ALH18" s="139"/>
      <c r="ALI18" s="139"/>
      <c r="ALJ18" s="139"/>
      <c r="ALK18" s="139"/>
      <c r="ALL18" s="139"/>
      <c r="ALM18" s="139"/>
      <c r="ALN18" s="139"/>
      <c r="ALO18" s="139"/>
      <c r="ALP18" s="139"/>
      <c r="ALQ18" s="139"/>
      <c r="ALR18" s="139"/>
      <c r="ALS18" s="139"/>
      <c r="ALT18" s="139"/>
      <c r="ALU18" s="139"/>
      <c r="ALV18" s="139"/>
      <c r="ALW18" s="139"/>
      <c r="ALX18" s="139"/>
      <c r="ALY18" s="139"/>
      <c r="ALZ18" s="139"/>
      <c r="AMA18" s="139"/>
      <c r="AMB18" s="139"/>
      <c r="AMC18" s="139"/>
      <c r="AMD18" s="139"/>
      <c r="AME18" s="139"/>
    </row>
    <row r="19" spans="1:1024" s="140" customFormat="1" x14ac:dyDescent="0.25">
      <c r="A19" s="175" t="s">
        <v>22</v>
      </c>
      <c r="B19" s="175" t="str">
        <f>IF(B16&lt;=B18,"OK","ERROR")</f>
        <v>OK</v>
      </c>
      <c r="C19" s="175" t="str">
        <f t="shared" ref="C19:J19" si="15">IF(C16&gt;=C18,"OK","ERROR")</f>
        <v>OK</v>
      </c>
      <c r="D19" s="175" t="str">
        <f t="shared" si="15"/>
        <v>OK</v>
      </c>
      <c r="E19" s="175" t="str">
        <f t="shared" si="15"/>
        <v>OK</v>
      </c>
      <c r="F19" s="175" t="str">
        <f t="shared" si="15"/>
        <v>OK</v>
      </c>
      <c r="G19" s="175" t="str">
        <f t="shared" si="15"/>
        <v>OK</v>
      </c>
      <c r="H19" s="175" t="str">
        <f t="shared" si="15"/>
        <v>OK</v>
      </c>
      <c r="I19" s="175" t="str">
        <f t="shared" si="15"/>
        <v>OK</v>
      </c>
      <c r="J19" s="175" t="str">
        <f t="shared" si="15"/>
        <v>OK</v>
      </c>
      <c r="K19" s="176" t="str">
        <f>IF(K13&lt;=K18,"OK","ERROR")</f>
        <v>OK</v>
      </c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  <c r="HM19" s="139"/>
      <c r="HN19" s="139"/>
      <c r="HO19" s="139"/>
      <c r="HP19" s="139"/>
      <c r="HQ19" s="139"/>
      <c r="HR19" s="139"/>
      <c r="HS19" s="139"/>
      <c r="HT19" s="139"/>
      <c r="HU19" s="139"/>
      <c r="HV19" s="139"/>
      <c r="HW19" s="139"/>
      <c r="HX19" s="139"/>
      <c r="HY19" s="139"/>
      <c r="HZ19" s="139"/>
      <c r="IA19" s="139"/>
      <c r="IB19" s="139"/>
      <c r="IC19" s="139"/>
      <c r="ID19" s="139"/>
      <c r="IE19" s="139"/>
      <c r="IF19" s="139"/>
      <c r="IG19" s="139"/>
      <c r="IH19" s="139"/>
      <c r="II19" s="139"/>
      <c r="IJ19" s="139"/>
      <c r="IK19" s="139"/>
      <c r="IL19" s="139"/>
      <c r="IM19" s="139"/>
      <c r="IN19" s="139"/>
      <c r="IO19" s="139"/>
      <c r="IP19" s="139"/>
      <c r="IQ19" s="139"/>
      <c r="IR19" s="139"/>
      <c r="IS19" s="139"/>
      <c r="IT19" s="139"/>
      <c r="IU19" s="139"/>
      <c r="IV19" s="139"/>
      <c r="IW19" s="139"/>
      <c r="IX19" s="139"/>
      <c r="IY19" s="139"/>
      <c r="IZ19" s="139"/>
      <c r="JA19" s="139"/>
      <c r="JB19" s="139"/>
      <c r="JC19" s="139"/>
      <c r="JD19" s="139"/>
      <c r="JE19" s="139"/>
      <c r="JF19" s="139"/>
      <c r="JG19" s="139"/>
      <c r="JH19" s="139"/>
      <c r="JI19" s="139"/>
      <c r="JJ19" s="139"/>
      <c r="JK19" s="139"/>
      <c r="JL19" s="139"/>
      <c r="JM19" s="139"/>
      <c r="JN19" s="139"/>
      <c r="JO19" s="139"/>
      <c r="JP19" s="139"/>
      <c r="JQ19" s="139"/>
      <c r="JR19" s="139"/>
      <c r="JS19" s="139"/>
      <c r="JT19" s="139"/>
      <c r="JU19" s="139"/>
      <c r="JV19" s="139"/>
      <c r="JW19" s="139"/>
      <c r="JX19" s="139"/>
      <c r="JY19" s="139"/>
      <c r="JZ19" s="139"/>
      <c r="KA19" s="139"/>
      <c r="KB19" s="139"/>
      <c r="KC19" s="139"/>
      <c r="KD19" s="139"/>
      <c r="KE19" s="139"/>
      <c r="KF19" s="139"/>
      <c r="KG19" s="139"/>
      <c r="KH19" s="139"/>
      <c r="KI19" s="139"/>
      <c r="KJ19" s="139"/>
      <c r="KK19" s="139"/>
      <c r="KL19" s="139"/>
      <c r="KM19" s="139"/>
      <c r="KN19" s="139"/>
      <c r="KO19" s="139"/>
      <c r="KP19" s="139"/>
      <c r="KQ19" s="139"/>
      <c r="KR19" s="139"/>
      <c r="KS19" s="139"/>
      <c r="KT19" s="139"/>
      <c r="KU19" s="139"/>
      <c r="KV19" s="139"/>
      <c r="KW19" s="139"/>
      <c r="KX19" s="139"/>
      <c r="KY19" s="139"/>
      <c r="KZ19" s="139"/>
      <c r="LA19" s="139"/>
      <c r="LB19" s="139"/>
      <c r="LC19" s="139"/>
      <c r="LD19" s="139"/>
      <c r="LE19" s="139"/>
      <c r="LF19" s="139"/>
      <c r="LG19" s="139"/>
      <c r="LH19" s="139"/>
      <c r="LI19" s="139"/>
      <c r="LJ19" s="139"/>
      <c r="LK19" s="139"/>
      <c r="LL19" s="139"/>
      <c r="LM19" s="139"/>
      <c r="LN19" s="139"/>
      <c r="LO19" s="139"/>
      <c r="LP19" s="139"/>
      <c r="LQ19" s="139"/>
      <c r="LR19" s="139"/>
      <c r="LS19" s="139"/>
      <c r="LT19" s="139"/>
      <c r="LU19" s="139"/>
      <c r="LV19" s="139"/>
      <c r="LW19" s="139"/>
      <c r="LX19" s="139"/>
      <c r="LY19" s="139"/>
      <c r="LZ19" s="139"/>
      <c r="MA19" s="139"/>
      <c r="MB19" s="139"/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39"/>
      <c r="MV19" s="139"/>
      <c r="MW19" s="139"/>
      <c r="MX19" s="139"/>
      <c r="MY19" s="139"/>
      <c r="MZ19" s="139"/>
      <c r="NA19" s="139"/>
      <c r="NB19" s="139"/>
      <c r="NC19" s="139"/>
      <c r="ND19" s="139"/>
      <c r="NE19" s="139"/>
      <c r="NF19" s="139"/>
      <c r="NG19" s="139"/>
      <c r="NH19" s="139"/>
      <c r="NI19" s="139"/>
      <c r="NJ19" s="139"/>
      <c r="NK19" s="139"/>
      <c r="NL19" s="139"/>
      <c r="NM19" s="139"/>
      <c r="NN19" s="139"/>
      <c r="NO19" s="139"/>
      <c r="NP19" s="139"/>
      <c r="NQ19" s="139"/>
      <c r="NR19" s="139"/>
      <c r="NS19" s="139"/>
      <c r="NT19" s="139"/>
      <c r="NU19" s="139"/>
      <c r="NV19" s="139"/>
      <c r="NW19" s="139"/>
      <c r="NX19" s="139"/>
      <c r="NY19" s="139"/>
      <c r="NZ19" s="139"/>
      <c r="OA19" s="139"/>
      <c r="OB19" s="139"/>
      <c r="OC19" s="139"/>
      <c r="OD19" s="139"/>
      <c r="OE19" s="139"/>
      <c r="OF19" s="139"/>
      <c r="OG19" s="139"/>
      <c r="OH19" s="139"/>
      <c r="OI19" s="139"/>
      <c r="OJ19" s="139"/>
      <c r="OK19" s="139"/>
      <c r="OL19" s="139"/>
      <c r="OM19" s="139"/>
      <c r="ON19" s="139"/>
      <c r="OO19" s="139"/>
      <c r="OP19" s="139"/>
      <c r="OQ19" s="139"/>
      <c r="OR19" s="139"/>
      <c r="OS19" s="139"/>
      <c r="OT19" s="139"/>
      <c r="OU19" s="139"/>
      <c r="OV19" s="139"/>
      <c r="OW19" s="139"/>
      <c r="OX19" s="139"/>
      <c r="OY19" s="139"/>
      <c r="OZ19" s="139"/>
      <c r="PA19" s="139"/>
      <c r="PB19" s="139"/>
      <c r="PC19" s="139"/>
      <c r="PD19" s="139"/>
      <c r="PE19" s="139"/>
      <c r="PF19" s="139"/>
      <c r="PG19" s="139"/>
      <c r="PH19" s="139"/>
      <c r="PI19" s="139"/>
      <c r="PJ19" s="139"/>
      <c r="PK19" s="139"/>
      <c r="PL19" s="139"/>
      <c r="PM19" s="139"/>
      <c r="PN19" s="139"/>
      <c r="PO19" s="139"/>
      <c r="PP19" s="139"/>
      <c r="PQ19" s="139"/>
      <c r="PR19" s="139"/>
      <c r="PS19" s="139"/>
      <c r="PT19" s="139"/>
      <c r="PU19" s="139"/>
      <c r="PV19" s="139"/>
      <c r="PW19" s="139"/>
      <c r="PX19" s="139"/>
      <c r="PY19" s="139"/>
      <c r="PZ19" s="139"/>
      <c r="QA19" s="139"/>
      <c r="QB19" s="139"/>
      <c r="QC19" s="139"/>
      <c r="QD19" s="139"/>
      <c r="QE19" s="139"/>
      <c r="QF19" s="139"/>
      <c r="QG19" s="139"/>
      <c r="QH19" s="139"/>
      <c r="QI19" s="139"/>
      <c r="QJ19" s="139"/>
      <c r="QK19" s="139"/>
      <c r="QL19" s="139"/>
      <c r="QM19" s="139"/>
      <c r="QN19" s="139"/>
      <c r="QO19" s="139"/>
      <c r="QP19" s="139"/>
      <c r="QQ19" s="139"/>
      <c r="QR19" s="139"/>
      <c r="QS19" s="139"/>
      <c r="QT19" s="139"/>
      <c r="QU19" s="139"/>
      <c r="QV19" s="139"/>
      <c r="QW19" s="139"/>
      <c r="QX19" s="139"/>
      <c r="QY19" s="139"/>
      <c r="QZ19" s="139"/>
      <c r="RA19" s="139"/>
      <c r="RB19" s="139"/>
      <c r="RC19" s="139"/>
      <c r="RD19" s="139"/>
      <c r="RE19" s="139"/>
      <c r="RF19" s="139"/>
      <c r="RG19" s="139"/>
      <c r="RH19" s="139"/>
      <c r="RI19" s="139"/>
      <c r="RJ19" s="139"/>
      <c r="RK19" s="139"/>
      <c r="RL19" s="139"/>
      <c r="RM19" s="139"/>
      <c r="RN19" s="139"/>
      <c r="RO19" s="139"/>
      <c r="RP19" s="139"/>
      <c r="RQ19" s="139"/>
      <c r="RR19" s="139"/>
      <c r="RS19" s="139"/>
      <c r="RT19" s="139"/>
      <c r="RU19" s="139"/>
      <c r="RV19" s="139"/>
      <c r="RW19" s="139"/>
      <c r="RX19" s="139"/>
      <c r="RY19" s="139"/>
      <c r="RZ19" s="139"/>
      <c r="SA19" s="139"/>
      <c r="SB19" s="139"/>
      <c r="SC19" s="139"/>
      <c r="SD19" s="139"/>
      <c r="SE19" s="139"/>
      <c r="SF19" s="139"/>
      <c r="SG19" s="139"/>
      <c r="SH19" s="139"/>
      <c r="SI19" s="139"/>
      <c r="SJ19" s="139"/>
      <c r="SK19" s="139"/>
      <c r="SL19" s="139"/>
      <c r="SM19" s="139"/>
      <c r="SN19" s="139"/>
      <c r="SO19" s="139"/>
      <c r="SP19" s="139"/>
      <c r="SQ19" s="139"/>
      <c r="SR19" s="139"/>
      <c r="SS19" s="139"/>
      <c r="ST19" s="139"/>
      <c r="SU19" s="139"/>
      <c r="SV19" s="139"/>
      <c r="SW19" s="139"/>
      <c r="SX19" s="139"/>
      <c r="SY19" s="139"/>
      <c r="SZ19" s="139"/>
      <c r="TA19" s="139"/>
      <c r="TB19" s="139"/>
      <c r="TC19" s="139"/>
      <c r="TD19" s="139"/>
      <c r="TE19" s="139"/>
      <c r="TF19" s="139"/>
      <c r="TG19" s="139"/>
      <c r="TH19" s="139"/>
      <c r="TI19" s="139"/>
      <c r="TJ19" s="139"/>
      <c r="TK19" s="139"/>
      <c r="TL19" s="139"/>
      <c r="TM19" s="139"/>
      <c r="TN19" s="139"/>
      <c r="TO19" s="139"/>
      <c r="TP19" s="139"/>
      <c r="TQ19" s="139"/>
      <c r="TR19" s="139"/>
      <c r="TS19" s="139"/>
      <c r="TT19" s="139"/>
      <c r="TU19" s="139"/>
      <c r="TV19" s="139"/>
      <c r="TW19" s="139"/>
      <c r="TX19" s="139"/>
      <c r="TY19" s="139"/>
      <c r="TZ19" s="139"/>
      <c r="UA19" s="139"/>
      <c r="UB19" s="139"/>
      <c r="UC19" s="139"/>
      <c r="UD19" s="139"/>
      <c r="UE19" s="139"/>
      <c r="UF19" s="139"/>
      <c r="UG19" s="139"/>
      <c r="UH19" s="139"/>
      <c r="UI19" s="139"/>
      <c r="UJ19" s="139"/>
      <c r="UK19" s="139"/>
      <c r="UL19" s="139"/>
      <c r="UM19" s="139"/>
      <c r="UN19" s="139"/>
      <c r="UO19" s="139"/>
      <c r="UP19" s="139"/>
      <c r="UQ19" s="139"/>
      <c r="UR19" s="139"/>
      <c r="US19" s="139"/>
      <c r="UT19" s="139"/>
      <c r="UU19" s="139"/>
      <c r="UV19" s="139"/>
      <c r="UW19" s="139"/>
      <c r="UX19" s="139"/>
      <c r="UY19" s="139"/>
      <c r="UZ19" s="139"/>
      <c r="VA19" s="139"/>
      <c r="VB19" s="139"/>
      <c r="VC19" s="139"/>
      <c r="VD19" s="139"/>
      <c r="VE19" s="139"/>
      <c r="VF19" s="139"/>
      <c r="VG19" s="139"/>
      <c r="VH19" s="139"/>
      <c r="VI19" s="139"/>
      <c r="VJ19" s="139"/>
      <c r="VK19" s="139"/>
      <c r="VL19" s="139"/>
      <c r="VM19" s="139"/>
      <c r="VN19" s="139"/>
      <c r="VO19" s="139"/>
      <c r="VP19" s="139"/>
      <c r="VQ19" s="139"/>
      <c r="VR19" s="139"/>
      <c r="VS19" s="139"/>
      <c r="VT19" s="139"/>
      <c r="VU19" s="139"/>
      <c r="VV19" s="139"/>
      <c r="VW19" s="139"/>
      <c r="VX19" s="139"/>
      <c r="VY19" s="139"/>
      <c r="VZ19" s="139"/>
      <c r="WA19" s="139"/>
      <c r="WB19" s="139"/>
      <c r="WC19" s="139"/>
      <c r="WD19" s="139"/>
      <c r="WE19" s="139"/>
      <c r="WF19" s="139"/>
      <c r="WG19" s="139"/>
      <c r="WH19" s="139"/>
      <c r="WI19" s="139"/>
      <c r="WJ19" s="139"/>
      <c r="WK19" s="139"/>
      <c r="WL19" s="139"/>
      <c r="WM19" s="139"/>
      <c r="WN19" s="139"/>
      <c r="WO19" s="139"/>
      <c r="WP19" s="139"/>
      <c r="WQ19" s="139"/>
      <c r="WR19" s="139"/>
      <c r="WS19" s="139"/>
      <c r="WT19" s="139"/>
      <c r="WU19" s="139"/>
      <c r="WV19" s="139"/>
      <c r="WW19" s="139"/>
      <c r="WX19" s="139"/>
      <c r="WY19" s="139"/>
      <c r="WZ19" s="139"/>
      <c r="XA19" s="139"/>
      <c r="XB19" s="139"/>
      <c r="XC19" s="139"/>
      <c r="XD19" s="139"/>
      <c r="XE19" s="139"/>
      <c r="XF19" s="139"/>
      <c r="XG19" s="139"/>
      <c r="XH19" s="139"/>
      <c r="XI19" s="139"/>
      <c r="XJ19" s="139"/>
      <c r="XK19" s="139"/>
      <c r="XL19" s="139"/>
      <c r="XM19" s="139"/>
      <c r="XN19" s="139"/>
      <c r="XO19" s="139"/>
      <c r="XP19" s="139"/>
      <c r="XQ19" s="139"/>
      <c r="XR19" s="139"/>
      <c r="XS19" s="139"/>
      <c r="XT19" s="139"/>
      <c r="XU19" s="139"/>
      <c r="XV19" s="139"/>
      <c r="XW19" s="139"/>
      <c r="XX19" s="139"/>
      <c r="XY19" s="139"/>
      <c r="XZ19" s="139"/>
      <c r="YA19" s="139"/>
      <c r="YB19" s="139"/>
      <c r="YC19" s="139"/>
      <c r="YD19" s="139"/>
      <c r="YE19" s="139"/>
      <c r="YF19" s="139"/>
      <c r="YG19" s="139"/>
      <c r="YH19" s="139"/>
      <c r="YI19" s="139"/>
      <c r="YJ19" s="139"/>
      <c r="YK19" s="139"/>
      <c r="YL19" s="139"/>
      <c r="YM19" s="139"/>
      <c r="YN19" s="139"/>
      <c r="YO19" s="139"/>
      <c r="YP19" s="139"/>
      <c r="YQ19" s="139"/>
      <c r="YR19" s="139"/>
      <c r="YS19" s="139"/>
      <c r="YT19" s="139"/>
      <c r="YU19" s="139"/>
      <c r="YV19" s="139"/>
      <c r="YW19" s="139"/>
      <c r="YX19" s="139"/>
      <c r="YY19" s="139"/>
      <c r="YZ19" s="139"/>
      <c r="ZA19" s="139"/>
      <c r="ZB19" s="139"/>
      <c r="ZC19" s="139"/>
      <c r="ZD19" s="139"/>
      <c r="ZE19" s="139"/>
      <c r="ZF19" s="139"/>
      <c r="ZG19" s="139"/>
      <c r="ZH19" s="139"/>
      <c r="ZI19" s="139"/>
      <c r="ZJ19" s="139"/>
      <c r="ZK19" s="139"/>
      <c r="ZL19" s="139"/>
      <c r="ZM19" s="139"/>
      <c r="ZN19" s="139"/>
      <c r="ZO19" s="139"/>
      <c r="ZP19" s="139"/>
      <c r="ZQ19" s="139"/>
      <c r="ZR19" s="139"/>
      <c r="ZS19" s="139"/>
      <c r="ZT19" s="139"/>
      <c r="ZU19" s="139"/>
      <c r="ZV19" s="139"/>
      <c r="ZW19" s="139"/>
      <c r="ZX19" s="139"/>
      <c r="ZY19" s="139"/>
      <c r="ZZ19" s="139"/>
      <c r="AAA19" s="139"/>
      <c r="AAB19" s="139"/>
      <c r="AAC19" s="139"/>
      <c r="AAD19" s="139"/>
      <c r="AAE19" s="139"/>
      <c r="AAF19" s="139"/>
      <c r="AAG19" s="139"/>
      <c r="AAH19" s="139"/>
      <c r="AAI19" s="139"/>
      <c r="AAJ19" s="139"/>
      <c r="AAK19" s="139"/>
      <c r="AAL19" s="139"/>
      <c r="AAM19" s="139"/>
      <c r="AAN19" s="139"/>
      <c r="AAO19" s="139"/>
      <c r="AAP19" s="139"/>
      <c r="AAQ19" s="139"/>
      <c r="AAR19" s="139"/>
      <c r="AAS19" s="139"/>
      <c r="AAT19" s="139"/>
      <c r="AAU19" s="139"/>
      <c r="AAV19" s="139"/>
      <c r="AAW19" s="139"/>
      <c r="AAX19" s="139"/>
      <c r="AAY19" s="139"/>
      <c r="AAZ19" s="139"/>
      <c r="ABA19" s="139"/>
      <c r="ABB19" s="139"/>
      <c r="ABC19" s="139"/>
      <c r="ABD19" s="139"/>
      <c r="ABE19" s="139"/>
      <c r="ABF19" s="139"/>
      <c r="ABG19" s="139"/>
      <c r="ABH19" s="139"/>
      <c r="ABI19" s="139"/>
      <c r="ABJ19" s="139"/>
      <c r="ABK19" s="139"/>
      <c r="ABL19" s="139"/>
      <c r="ABM19" s="139"/>
      <c r="ABN19" s="139"/>
      <c r="ABO19" s="139"/>
      <c r="ABP19" s="139"/>
      <c r="ABQ19" s="139"/>
      <c r="ABR19" s="139"/>
      <c r="ABS19" s="139"/>
      <c r="ABT19" s="139"/>
      <c r="ABU19" s="139"/>
      <c r="ABV19" s="139"/>
      <c r="ABW19" s="139"/>
      <c r="ABX19" s="139"/>
      <c r="ABY19" s="139"/>
      <c r="ABZ19" s="139"/>
      <c r="ACA19" s="139"/>
      <c r="ACB19" s="139"/>
      <c r="ACC19" s="139"/>
      <c r="ACD19" s="139"/>
      <c r="ACE19" s="139"/>
      <c r="ACF19" s="139"/>
      <c r="ACG19" s="139"/>
      <c r="ACH19" s="139"/>
      <c r="ACI19" s="139"/>
      <c r="ACJ19" s="139"/>
      <c r="ACK19" s="139"/>
      <c r="ACL19" s="139"/>
      <c r="ACM19" s="139"/>
      <c r="ACN19" s="139"/>
      <c r="ACO19" s="139"/>
      <c r="ACP19" s="139"/>
      <c r="ACQ19" s="139"/>
      <c r="ACR19" s="139"/>
      <c r="ACS19" s="139"/>
      <c r="ACT19" s="139"/>
      <c r="ACU19" s="139"/>
      <c r="ACV19" s="139"/>
      <c r="ACW19" s="139"/>
      <c r="ACX19" s="139"/>
      <c r="ACY19" s="139"/>
      <c r="ACZ19" s="139"/>
      <c r="ADA19" s="139"/>
      <c r="ADB19" s="139"/>
      <c r="ADC19" s="139"/>
      <c r="ADD19" s="139"/>
      <c r="ADE19" s="139"/>
      <c r="ADF19" s="139"/>
      <c r="ADG19" s="139"/>
      <c r="ADH19" s="139"/>
      <c r="ADI19" s="139"/>
      <c r="ADJ19" s="139"/>
      <c r="ADK19" s="139"/>
      <c r="ADL19" s="139"/>
      <c r="ADM19" s="139"/>
      <c r="ADN19" s="139"/>
      <c r="ADO19" s="139"/>
      <c r="ADP19" s="139"/>
      <c r="ADQ19" s="139"/>
      <c r="ADR19" s="139"/>
      <c r="ADS19" s="139"/>
      <c r="ADT19" s="139"/>
      <c r="ADU19" s="139"/>
      <c r="ADV19" s="139"/>
      <c r="ADW19" s="139"/>
      <c r="ADX19" s="139"/>
      <c r="ADY19" s="139"/>
      <c r="ADZ19" s="139"/>
      <c r="AEA19" s="139"/>
      <c r="AEB19" s="139"/>
      <c r="AEC19" s="139"/>
      <c r="AED19" s="139"/>
      <c r="AEE19" s="139"/>
      <c r="AEF19" s="139"/>
      <c r="AEG19" s="139"/>
      <c r="AEH19" s="139"/>
      <c r="AEI19" s="139"/>
      <c r="AEJ19" s="139"/>
      <c r="AEK19" s="139"/>
      <c r="AEL19" s="139"/>
      <c r="AEM19" s="139"/>
      <c r="AEN19" s="139"/>
      <c r="AEO19" s="139"/>
      <c r="AEP19" s="139"/>
      <c r="AEQ19" s="139"/>
      <c r="AER19" s="139"/>
      <c r="AES19" s="139"/>
      <c r="AET19" s="139"/>
      <c r="AEU19" s="139"/>
      <c r="AEV19" s="139"/>
      <c r="AEW19" s="139"/>
      <c r="AEX19" s="139"/>
      <c r="AEY19" s="139"/>
      <c r="AEZ19" s="139"/>
      <c r="AFA19" s="139"/>
      <c r="AFB19" s="139"/>
      <c r="AFC19" s="139"/>
      <c r="AFD19" s="139"/>
      <c r="AFE19" s="139"/>
      <c r="AFF19" s="139"/>
      <c r="AFG19" s="139"/>
      <c r="AFH19" s="139"/>
      <c r="AFI19" s="139"/>
      <c r="AFJ19" s="139"/>
      <c r="AFK19" s="139"/>
      <c r="AFL19" s="139"/>
      <c r="AFM19" s="139"/>
      <c r="AFN19" s="139"/>
      <c r="AFO19" s="139"/>
      <c r="AFP19" s="139"/>
      <c r="AFQ19" s="139"/>
      <c r="AFR19" s="139"/>
      <c r="AFS19" s="139"/>
      <c r="AFT19" s="139"/>
      <c r="AFU19" s="139"/>
      <c r="AFV19" s="139"/>
      <c r="AFW19" s="139"/>
      <c r="AFX19" s="139"/>
      <c r="AFY19" s="139"/>
      <c r="AFZ19" s="139"/>
      <c r="AGA19" s="139"/>
      <c r="AGB19" s="139"/>
      <c r="AGC19" s="139"/>
      <c r="AGD19" s="139"/>
      <c r="AGE19" s="139"/>
      <c r="AGF19" s="139"/>
      <c r="AGG19" s="139"/>
      <c r="AGH19" s="139"/>
      <c r="AGI19" s="139"/>
      <c r="AGJ19" s="139"/>
      <c r="AGK19" s="139"/>
      <c r="AGL19" s="139"/>
      <c r="AGM19" s="139"/>
      <c r="AGN19" s="139"/>
      <c r="AGO19" s="139"/>
      <c r="AGP19" s="139"/>
      <c r="AGQ19" s="139"/>
      <c r="AGR19" s="139"/>
      <c r="AGS19" s="139"/>
      <c r="AGT19" s="139"/>
      <c r="AGU19" s="139"/>
      <c r="AGV19" s="139"/>
      <c r="AGW19" s="139"/>
      <c r="AGX19" s="139"/>
      <c r="AGY19" s="139"/>
      <c r="AGZ19" s="139"/>
      <c r="AHA19" s="139"/>
      <c r="AHB19" s="139"/>
      <c r="AHC19" s="139"/>
      <c r="AHD19" s="139"/>
      <c r="AHE19" s="139"/>
      <c r="AHF19" s="139"/>
      <c r="AHG19" s="139"/>
      <c r="AHH19" s="139"/>
      <c r="AHI19" s="139"/>
      <c r="AHJ19" s="139"/>
      <c r="AHK19" s="139"/>
      <c r="AHL19" s="139"/>
      <c r="AHM19" s="139"/>
      <c r="AHN19" s="139"/>
      <c r="AHO19" s="139"/>
      <c r="AHP19" s="139"/>
      <c r="AHQ19" s="139"/>
      <c r="AHR19" s="139"/>
      <c r="AHS19" s="139"/>
      <c r="AHT19" s="139"/>
      <c r="AHU19" s="139"/>
      <c r="AHV19" s="139"/>
      <c r="AHW19" s="139"/>
      <c r="AHX19" s="139"/>
      <c r="AHY19" s="139"/>
      <c r="AHZ19" s="139"/>
      <c r="AIA19" s="139"/>
      <c r="AIB19" s="139"/>
      <c r="AIC19" s="139"/>
      <c r="AID19" s="139"/>
      <c r="AIE19" s="139"/>
      <c r="AIF19" s="139"/>
      <c r="AIG19" s="139"/>
      <c r="AIH19" s="139"/>
      <c r="AII19" s="139"/>
      <c r="AIJ19" s="139"/>
      <c r="AIK19" s="139"/>
      <c r="AIL19" s="139"/>
      <c r="AIM19" s="139"/>
      <c r="AIN19" s="139"/>
      <c r="AIO19" s="139"/>
      <c r="AIP19" s="139"/>
      <c r="AIQ19" s="139"/>
      <c r="AIR19" s="139"/>
      <c r="AIS19" s="139"/>
      <c r="AIT19" s="139"/>
      <c r="AIU19" s="139"/>
      <c r="AIV19" s="139"/>
      <c r="AIW19" s="139"/>
      <c r="AIX19" s="139"/>
      <c r="AIY19" s="139"/>
      <c r="AIZ19" s="139"/>
      <c r="AJA19" s="139"/>
      <c r="AJB19" s="139"/>
      <c r="AJC19" s="139"/>
      <c r="AJD19" s="139"/>
      <c r="AJE19" s="139"/>
      <c r="AJF19" s="139"/>
      <c r="AJG19" s="139"/>
      <c r="AJH19" s="139"/>
      <c r="AJI19" s="139"/>
      <c r="AJJ19" s="139"/>
      <c r="AJK19" s="139"/>
      <c r="AJL19" s="139"/>
      <c r="AJM19" s="139"/>
      <c r="AJN19" s="139"/>
      <c r="AJO19" s="139"/>
      <c r="AJP19" s="139"/>
      <c r="AJQ19" s="139"/>
      <c r="AJR19" s="139"/>
      <c r="AJS19" s="139"/>
      <c r="AJT19" s="139"/>
      <c r="AJU19" s="139"/>
      <c r="AJV19" s="139"/>
      <c r="AJW19" s="139"/>
      <c r="AJX19" s="139"/>
      <c r="AJY19" s="139"/>
      <c r="AJZ19" s="139"/>
      <c r="AKA19" s="139"/>
      <c r="AKB19" s="139"/>
      <c r="AKC19" s="139"/>
      <c r="AKD19" s="139"/>
      <c r="AKE19" s="139"/>
      <c r="AKF19" s="139"/>
      <c r="AKG19" s="139"/>
      <c r="AKH19" s="139"/>
      <c r="AKI19" s="139"/>
      <c r="AKJ19" s="139"/>
      <c r="AKK19" s="139"/>
      <c r="AKL19" s="139"/>
      <c r="AKM19" s="139"/>
      <c r="AKN19" s="139"/>
      <c r="AKO19" s="139"/>
      <c r="AKP19" s="139"/>
      <c r="AKQ19" s="139"/>
      <c r="AKR19" s="139"/>
      <c r="AKS19" s="139"/>
      <c r="AKT19" s="139"/>
      <c r="AKU19" s="139"/>
      <c r="AKV19" s="139"/>
      <c r="AKW19" s="139"/>
      <c r="AKX19" s="139"/>
      <c r="AKY19" s="139"/>
      <c r="AKZ19" s="139"/>
      <c r="ALA19" s="139"/>
      <c r="ALB19" s="139"/>
      <c r="ALC19" s="139"/>
      <c r="ALD19" s="139"/>
      <c r="ALE19" s="139"/>
      <c r="ALF19" s="139"/>
      <c r="ALG19" s="139"/>
      <c r="ALH19" s="139"/>
      <c r="ALI19" s="139"/>
      <c r="ALJ19" s="139"/>
      <c r="ALK19" s="139"/>
      <c r="ALL19" s="139"/>
      <c r="ALM19" s="139"/>
      <c r="ALN19" s="139"/>
      <c r="ALO19" s="139"/>
      <c r="ALP19" s="139"/>
      <c r="ALQ19" s="139"/>
      <c r="ALR19" s="139"/>
      <c r="ALS19" s="139"/>
      <c r="ALT19" s="139"/>
      <c r="ALU19" s="139"/>
      <c r="ALV19" s="139"/>
      <c r="ALW19" s="139"/>
      <c r="ALX19" s="139"/>
      <c r="ALY19" s="139"/>
      <c r="ALZ19" s="139"/>
      <c r="AMA19" s="139"/>
      <c r="AMB19" s="139"/>
      <c r="AMC19" s="139"/>
      <c r="AMD19" s="139"/>
      <c r="AME19" s="139"/>
    </row>
    <row r="20" spans="1:1024" s="140" customFormat="1" ht="15.75" x14ac:dyDescent="0.25">
      <c r="A20" s="177" t="s">
        <v>23</v>
      </c>
      <c r="B20" s="177">
        <f ca="1">B10</f>
        <v>0</v>
      </c>
      <c r="C20" s="177">
        <f ca="1">C10</f>
        <v>0</v>
      </c>
      <c r="D20" s="177">
        <f ca="1">D10</f>
        <v>33.400000000000006</v>
      </c>
      <c r="E20" s="177">
        <f ca="1">E10</f>
        <v>79.2</v>
      </c>
      <c r="F20" s="177">
        <f ca="1">F10</f>
        <v>101070</v>
      </c>
      <c r="G20" s="177">
        <f t="shared" ref="G20:J20" ca="1" si="16">G10</f>
        <v>16</v>
      </c>
      <c r="H20" s="127">
        <f ca="1">H10</f>
        <v>1</v>
      </c>
      <c r="I20" s="128">
        <f ca="1">IF(I10&gt;0,((728/I10)^2),0)</f>
        <v>727.00137174211238</v>
      </c>
      <c r="J20" s="177">
        <f t="shared" ca="1" si="16"/>
        <v>0</v>
      </c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39"/>
      <c r="EL20" s="139"/>
      <c r="EM20" s="139"/>
      <c r="EN20" s="139"/>
      <c r="EO20" s="139"/>
      <c r="EP20" s="139"/>
      <c r="EQ20" s="139"/>
      <c r="ER20" s="139"/>
      <c r="ES20" s="139"/>
      <c r="ET20" s="139"/>
      <c r="EU20" s="139"/>
      <c r="EV20" s="139"/>
      <c r="EW20" s="139"/>
      <c r="EX20" s="139"/>
      <c r="EY20" s="139"/>
      <c r="EZ20" s="139"/>
      <c r="FA20" s="139"/>
      <c r="FB20" s="139"/>
      <c r="FC20" s="139"/>
      <c r="FD20" s="139"/>
      <c r="FE20" s="139"/>
      <c r="FF20" s="139"/>
      <c r="FG20" s="139"/>
      <c r="FH20" s="139"/>
      <c r="FI20" s="139"/>
      <c r="FJ20" s="139"/>
      <c r="FK20" s="139"/>
      <c r="FL20" s="139"/>
      <c r="FM20" s="139"/>
      <c r="FN20" s="139"/>
      <c r="FO20" s="139"/>
      <c r="FP20" s="139"/>
      <c r="FQ20" s="139"/>
      <c r="FR20" s="139"/>
      <c r="FS20" s="139"/>
      <c r="FT20" s="139"/>
      <c r="FU20" s="139"/>
      <c r="FV20" s="139"/>
      <c r="FW20" s="139"/>
      <c r="FX20" s="139"/>
      <c r="FY20" s="139"/>
      <c r="FZ20" s="139"/>
      <c r="GA20" s="139"/>
      <c r="GB20" s="139"/>
      <c r="GC20" s="139"/>
      <c r="GD20" s="139"/>
      <c r="GE20" s="139"/>
      <c r="GF20" s="139"/>
      <c r="GG20" s="139"/>
      <c r="GH20" s="139"/>
      <c r="GI20" s="139"/>
      <c r="GJ20" s="139"/>
      <c r="GK20" s="139"/>
      <c r="GL20" s="139"/>
      <c r="GM20" s="139"/>
      <c r="GN20" s="139"/>
      <c r="GO20" s="139"/>
      <c r="GP20" s="139"/>
      <c r="GQ20" s="139"/>
      <c r="GR20" s="139"/>
      <c r="GS20" s="139"/>
      <c r="GT20" s="139"/>
      <c r="GU20" s="139"/>
      <c r="GV20" s="139"/>
      <c r="GW20" s="139"/>
      <c r="GX20" s="139"/>
      <c r="GY20" s="139"/>
      <c r="GZ20" s="139"/>
      <c r="HA20" s="139"/>
      <c r="HB20" s="139"/>
      <c r="HC20" s="139"/>
      <c r="HD20" s="139"/>
      <c r="HE20" s="139"/>
      <c r="HF20" s="139"/>
      <c r="HG20" s="139"/>
      <c r="HH20" s="139"/>
      <c r="HI20" s="139"/>
      <c r="HJ20" s="139"/>
      <c r="HK20" s="139"/>
      <c r="HL20" s="139"/>
      <c r="HM20" s="139"/>
      <c r="HN20" s="139"/>
      <c r="HO20" s="139"/>
      <c r="HP20" s="139"/>
      <c r="HQ20" s="139"/>
      <c r="HR20" s="139"/>
      <c r="HS20" s="139"/>
      <c r="HT20" s="139"/>
      <c r="HU20" s="139"/>
      <c r="HV20" s="139"/>
      <c r="HW20" s="139"/>
      <c r="HX20" s="139"/>
      <c r="HY20" s="139"/>
      <c r="HZ20" s="139"/>
      <c r="IA20" s="139"/>
      <c r="IB20" s="139"/>
      <c r="IC20" s="139"/>
      <c r="ID20" s="139"/>
      <c r="IE20" s="139"/>
      <c r="IF20" s="139"/>
      <c r="IG20" s="139"/>
      <c r="IH20" s="139"/>
      <c r="II20" s="139"/>
      <c r="IJ20" s="139"/>
      <c r="IK20" s="139"/>
      <c r="IL20" s="139"/>
      <c r="IM20" s="139"/>
      <c r="IN20" s="139"/>
      <c r="IO20" s="139"/>
      <c r="IP20" s="139"/>
      <c r="IQ20" s="139"/>
      <c r="IR20" s="139"/>
      <c r="IS20" s="139"/>
      <c r="IT20" s="139"/>
      <c r="IU20" s="139"/>
      <c r="IV20" s="139"/>
      <c r="IW20" s="139"/>
      <c r="IX20" s="139"/>
      <c r="IY20" s="139"/>
      <c r="IZ20" s="139"/>
      <c r="JA20" s="139"/>
      <c r="JB20" s="139"/>
      <c r="JC20" s="139"/>
      <c r="JD20" s="139"/>
      <c r="JE20" s="139"/>
      <c r="JF20" s="139"/>
      <c r="JG20" s="139"/>
      <c r="JH20" s="139"/>
      <c r="JI20" s="139"/>
      <c r="JJ20" s="139"/>
      <c r="JK20" s="139"/>
      <c r="JL20" s="139"/>
      <c r="JM20" s="139"/>
      <c r="JN20" s="139"/>
      <c r="JO20" s="139"/>
      <c r="JP20" s="139"/>
      <c r="JQ20" s="139"/>
      <c r="JR20" s="139"/>
      <c r="JS20" s="139"/>
      <c r="JT20" s="139"/>
      <c r="JU20" s="139"/>
      <c r="JV20" s="139"/>
      <c r="JW20" s="139"/>
      <c r="JX20" s="139"/>
      <c r="JY20" s="139"/>
      <c r="JZ20" s="139"/>
      <c r="KA20" s="139"/>
      <c r="KB20" s="139"/>
      <c r="KC20" s="139"/>
      <c r="KD20" s="139"/>
      <c r="KE20" s="139"/>
      <c r="KF20" s="139"/>
      <c r="KG20" s="139"/>
      <c r="KH20" s="139"/>
      <c r="KI20" s="139"/>
      <c r="KJ20" s="139"/>
      <c r="KK20" s="139"/>
      <c r="KL20" s="139"/>
      <c r="KM20" s="139"/>
      <c r="KN20" s="139"/>
      <c r="KO20" s="139"/>
      <c r="KP20" s="139"/>
      <c r="KQ20" s="139"/>
      <c r="KR20" s="139"/>
      <c r="KS20" s="139"/>
      <c r="KT20" s="139"/>
      <c r="KU20" s="139"/>
      <c r="KV20" s="139"/>
      <c r="KW20" s="139"/>
      <c r="KX20" s="139"/>
      <c r="KY20" s="139"/>
      <c r="KZ20" s="139"/>
      <c r="LA20" s="139"/>
      <c r="LB20" s="139"/>
      <c r="LC20" s="139"/>
      <c r="LD20" s="139"/>
      <c r="LE20" s="139"/>
      <c r="LF20" s="139"/>
      <c r="LG20" s="139"/>
      <c r="LH20" s="139"/>
      <c r="LI20" s="139"/>
      <c r="LJ20" s="139"/>
      <c r="LK20" s="139"/>
      <c r="LL20" s="139"/>
      <c r="LM20" s="139"/>
      <c r="LN20" s="139"/>
      <c r="LO20" s="139"/>
      <c r="LP20" s="139"/>
      <c r="LQ20" s="139"/>
      <c r="LR20" s="139"/>
      <c r="LS20" s="139"/>
      <c r="LT20" s="139"/>
      <c r="LU20" s="139"/>
      <c r="LV20" s="139"/>
      <c r="LW20" s="139"/>
      <c r="LX20" s="139"/>
      <c r="LY20" s="139"/>
      <c r="LZ20" s="139"/>
      <c r="MA20" s="139"/>
      <c r="MB20" s="139"/>
      <c r="MC20" s="139"/>
      <c r="MD20" s="139"/>
      <c r="ME20" s="139"/>
      <c r="MF20" s="139"/>
      <c r="MG20" s="139"/>
      <c r="MH20" s="139"/>
      <c r="MI20" s="139"/>
      <c r="MJ20" s="139"/>
      <c r="MK20" s="139"/>
      <c r="ML20" s="139"/>
      <c r="MM20" s="139"/>
      <c r="MN20" s="139"/>
      <c r="MO20" s="139"/>
      <c r="MP20" s="139"/>
      <c r="MQ20" s="139"/>
      <c r="MR20" s="139"/>
      <c r="MS20" s="139"/>
      <c r="MT20" s="139"/>
      <c r="MU20" s="139"/>
      <c r="MV20" s="139"/>
      <c r="MW20" s="139"/>
      <c r="MX20" s="139"/>
      <c r="MY20" s="139"/>
      <c r="MZ20" s="139"/>
      <c r="NA20" s="139"/>
      <c r="NB20" s="139"/>
      <c r="NC20" s="139"/>
      <c r="ND20" s="139"/>
      <c r="NE20" s="139"/>
      <c r="NF20" s="139"/>
      <c r="NG20" s="139"/>
      <c r="NH20" s="139"/>
      <c r="NI20" s="139"/>
      <c r="NJ20" s="139"/>
      <c r="NK20" s="139"/>
      <c r="NL20" s="139"/>
      <c r="NM20" s="139"/>
      <c r="NN20" s="139"/>
      <c r="NO20" s="139"/>
      <c r="NP20" s="139"/>
      <c r="NQ20" s="139"/>
      <c r="NR20" s="139"/>
      <c r="NS20" s="139"/>
      <c r="NT20" s="139"/>
      <c r="NU20" s="139"/>
      <c r="NV20" s="139"/>
      <c r="NW20" s="139"/>
      <c r="NX20" s="139"/>
      <c r="NY20" s="139"/>
      <c r="NZ20" s="139"/>
      <c r="OA20" s="139"/>
      <c r="OB20" s="139"/>
      <c r="OC20" s="139"/>
      <c r="OD20" s="139"/>
      <c r="OE20" s="139"/>
      <c r="OF20" s="139"/>
      <c r="OG20" s="139"/>
      <c r="OH20" s="139"/>
      <c r="OI20" s="139"/>
      <c r="OJ20" s="139"/>
      <c r="OK20" s="139"/>
      <c r="OL20" s="139"/>
      <c r="OM20" s="139"/>
      <c r="ON20" s="139"/>
      <c r="OO20" s="139"/>
      <c r="OP20" s="139"/>
      <c r="OQ20" s="139"/>
      <c r="OR20" s="139"/>
      <c r="OS20" s="139"/>
      <c r="OT20" s="139"/>
      <c r="OU20" s="139"/>
      <c r="OV20" s="139"/>
      <c r="OW20" s="139"/>
      <c r="OX20" s="139"/>
      <c r="OY20" s="139"/>
      <c r="OZ20" s="139"/>
      <c r="PA20" s="139"/>
      <c r="PB20" s="139"/>
      <c r="PC20" s="139"/>
      <c r="PD20" s="139"/>
      <c r="PE20" s="139"/>
      <c r="PF20" s="139"/>
      <c r="PG20" s="139"/>
      <c r="PH20" s="139"/>
      <c r="PI20" s="139"/>
      <c r="PJ20" s="139"/>
      <c r="PK20" s="139"/>
      <c r="PL20" s="139"/>
      <c r="PM20" s="139"/>
      <c r="PN20" s="139"/>
      <c r="PO20" s="139"/>
      <c r="PP20" s="139"/>
      <c r="PQ20" s="139"/>
      <c r="PR20" s="139"/>
      <c r="PS20" s="139"/>
      <c r="PT20" s="139"/>
      <c r="PU20" s="139"/>
      <c r="PV20" s="139"/>
      <c r="PW20" s="139"/>
      <c r="PX20" s="139"/>
      <c r="PY20" s="139"/>
      <c r="PZ20" s="139"/>
      <c r="QA20" s="139"/>
      <c r="QB20" s="139"/>
      <c r="QC20" s="139"/>
      <c r="QD20" s="139"/>
      <c r="QE20" s="139"/>
      <c r="QF20" s="139"/>
      <c r="QG20" s="139"/>
      <c r="QH20" s="139"/>
      <c r="QI20" s="139"/>
      <c r="QJ20" s="139"/>
      <c r="QK20" s="139"/>
      <c r="QL20" s="139"/>
      <c r="QM20" s="139"/>
      <c r="QN20" s="139"/>
      <c r="QO20" s="139"/>
      <c r="QP20" s="139"/>
      <c r="QQ20" s="139"/>
      <c r="QR20" s="139"/>
      <c r="QS20" s="139"/>
      <c r="QT20" s="139"/>
      <c r="QU20" s="139"/>
      <c r="QV20" s="139"/>
      <c r="QW20" s="139"/>
      <c r="QX20" s="139"/>
      <c r="QY20" s="139"/>
      <c r="QZ20" s="139"/>
      <c r="RA20" s="139"/>
      <c r="RB20" s="139"/>
      <c r="RC20" s="139"/>
      <c r="RD20" s="139"/>
      <c r="RE20" s="139"/>
      <c r="RF20" s="139"/>
      <c r="RG20" s="139"/>
      <c r="RH20" s="139"/>
      <c r="RI20" s="139"/>
      <c r="RJ20" s="139"/>
      <c r="RK20" s="139"/>
      <c r="RL20" s="139"/>
      <c r="RM20" s="139"/>
      <c r="RN20" s="139"/>
      <c r="RO20" s="139"/>
      <c r="RP20" s="139"/>
      <c r="RQ20" s="139"/>
      <c r="RR20" s="139"/>
      <c r="RS20" s="139"/>
      <c r="RT20" s="139"/>
      <c r="RU20" s="139"/>
      <c r="RV20" s="139"/>
      <c r="RW20" s="139"/>
      <c r="RX20" s="139"/>
      <c r="RY20" s="139"/>
      <c r="RZ20" s="139"/>
      <c r="SA20" s="139"/>
      <c r="SB20" s="139"/>
      <c r="SC20" s="139"/>
      <c r="SD20" s="139"/>
      <c r="SE20" s="139"/>
      <c r="SF20" s="139"/>
      <c r="SG20" s="139"/>
      <c r="SH20" s="139"/>
      <c r="SI20" s="139"/>
      <c r="SJ20" s="139"/>
      <c r="SK20" s="139"/>
      <c r="SL20" s="139"/>
      <c r="SM20" s="139"/>
      <c r="SN20" s="139"/>
      <c r="SO20" s="139"/>
      <c r="SP20" s="139"/>
      <c r="SQ20" s="139"/>
      <c r="SR20" s="139"/>
      <c r="SS20" s="139"/>
      <c r="ST20" s="139"/>
      <c r="SU20" s="139"/>
      <c r="SV20" s="139"/>
      <c r="SW20" s="139"/>
      <c r="SX20" s="139"/>
      <c r="SY20" s="139"/>
      <c r="SZ20" s="139"/>
      <c r="TA20" s="139"/>
      <c r="TB20" s="139"/>
      <c r="TC20" s="139"/>
      <c r="TD20" s="139"/>
      <c r="TE20" s="139"/>
      <c r="TF20" s="139"/>
      <c r="TG20" s="139"/>
      <c r="TH20" s="139"/>
      <c r="TI20" s="139"/>
      <c r="TJ20" s="139"/>
      <c r="TK20" s="139"/>
      <c r="TL20" s="139"/>
      <c r="TM20" s="139"/>
      <c r="TN20" s="139"/>
      <c r="TO20" s="139"/>
      <c r="TP20" s="139"/>
      <c r="TQ20" s="139"/>
      <c r="TR20" s="139"/>
      <c r="TS20" s="139"/>
      <c r="TT20" s="139"/>
      <c r="TU20" s="139"/>
      <c r="TV20" s="139"/>
      <c r="TW20" s="139"/>
      <c r="TX20" s="139"/>
      <c r="TY20" s="139"/>
      <c r="TZ20" s="139"/>
      <c r="UA20" s="139"/>
      <c r="UB20" s="139"/>
      <c r="UC20" s="139"/>
      <c r="UD20" s="139"/>
      <c r="UE20" s="139"/>
      <c r="UF20" s="139"/>
      <c r="UG20" s="139"/>
      <c r="UH20" s="139"/>
      <c r="UI20" s="139"/>
      <c r="UJ20" s="139"/>
      <c r="UK20" s="139"/>
      <c r="UL20" s="139"/>
      <c r="UM20" s="139"/>
      <c r="UN20" s="139"/>
      <c r="UO20" s="139"/>
      <c r="UP20" s="139"/>
      <c r="UQ20" s="139"/>
      <c r="UR20" s="139"/>
      <c r="US20" s="139"/>
      <c r="UT20" s="139"/>
      <c r="UU20" s="139"/>
      <c r="UV20" s="139"/>
      <c r="UW20" s="139"/>
      <c r="UX20" s="139"/>
      <c r="UY20" s="139"/>
      <c r="UZ20" s="139"/>
      <c r="VA20" s="139"/>
      <c r="VB20" s="139"/>
      <c r="VC20" s="139"/>
      <c r="VD20" s="139"/>
      <c r="VE20" s="139"/>
      <c r="VF20" s="139"/>
      <c r="VG20" s="139"/>
      <c r="VH20" s="139"/>
      <c r="VI20" s="139"/>
      <c r="VJ20" s="139"/>
      <c r="VK20" s="139"/>
      <c r="VL20" s="139"/>
      <c r="VM20" s="139"/>
      <c r="VN20" s="139"/>
      <c r="VO20" s="139"/>
      <c r="VP20" s="139"/>
      <c r="VQ20" s="139"/>
      <c r="VR20" s="139"/>
      <c r="VS20" s="139"/>
      <c r="VT20" s="139"/>
      <c r="VU20" s="139"/>
      <c r="VV20" s="139"/>
      <c r="VW20" s="139"/>
      <c r="VX20" s="139"/>
      <c r="VY20" s="139"/>
      <c r="VZ20" s="139"/>
      <c r="WA20" s="139"/>
      <c r="WB20" s="139"/>
      <c r="WC20" s="139"/>
      <c r="WD20" s="139"/>
      <c r="WE20" s="139"/>
      <c r="WF20" s="139"/>
      <c r="WG20" s="139"/>
      <c r="WH20" s="139"/>
      <c r="WI20" s="139"/>
      <c r="WJ20" s="139"/>
      <c r="WK20" s="139"/>
      <c r="WL20" s="139"/>
      <c r="WM20" s="139"/>
      <c r="WN20" s="139"/>
      <c r="WO20" s="139"/>
      <c r="WP20" s="139"/>
      <c r="WQ20" s="139"/>
      <c r="WR20" s="139"/>
      <c r="WS20" s="139"/>
      <c r="WT20" s="139"/>
      <c r="WU20" s="139"/>
      <c r="WV20" s="139"/>
      <c r="WW20" s="139"/>
      <c r="WX20" s="139"/>
      <c r="WY20" s="139"/>
      <c r="WZ20" s="139"/>
      <c r="XA20" s="139"/>
      <c r="XB20" s="139"/>
      <c r="XC20" s="139"/>
      <c r="XD20" s="139"/>
      <c r="XE20" s="139"/>
      <c r="XF20" s="139"/>
      <c r="XG20" s="139"/>
      <c r="XH20" s="139"/>
      <c r="XI20" s="139"/>
      <c r="XJ20" s="139"/>
      <c r="XK20" s="139"/>
      <c r="XL20" s="139"/>
      <c r="XM20" s="139"/>
      <c r="XN20" s="139"/>
      <c r="XO20" s="139"/>
      <c r="XP20" s="139"/>
      <c r="XQ20" s="139"/>
      <c r="XR20" s="139"/>
      <c r="XS20" s="139"/>
      <c r="XT20" s="139"/>
      <c r="XU20" s="139"/>
      <c r="XV20" s="139"/>
      <c r="XW20" s="139"/>
      <c r="XX20" s="139"/>
      <c r="XY20" s="139"/>
      <c r="XZ20" s="139"/>
      <c r="YA20" s="139"/>
      <c r="YB20" s="139"/>
      <c r="YC20" s="139"/>
      <c r="YD20" s="139"/>
      <c r="YE20" s="139"/>
      <c r="YF20" s="139"/>
      <c r="YG20" s="139"/>
      <c r="YH20" s="139"/>
      <c r="YI20" s="139"/>
      <c r="YJ20" s="139"/>
      <c r="YK20" s="139"/>
      <c r="YL20" s="139"/>
      <c r="YM20" s="139"/>
      <c r="YN20" s="139"/>
      <c r="YO20" s="139"/>
      <c r="YP20" s="139"/>
      <c r="YQ20" s="139"/>
      <c r="YR20" s="139"/>
      <c r="YS20" s="139"/>
      <c r="YT20" s="139"/>
      <c r="YU20" s="139"/>
      <c r="YV20" s="139"/>
      <c r="YW20" s="139"/>
      <c r="YX20" s="139"/>
      <c r="YY20" s="139"/>
      <c r="YZ20" s="139"/>
      <c r="ZA20" s="139"/>
      <c r="ZB20" s="139"/>
      <c r="ZC20" s="139"/>
      <c r="ZD20" s="139"/>
      <c r="ZE20" s="139"/>
      <c r="ZF20" s="139"/>
      <c r="ZG20" s="139"/>
      <c r="ZH20" s="139"/>
      <c r="ZI20" s="139"/>
      <c r="ZJ20" s="139"/>
      <c r="ZK20" s="139"/>
      <c r="ZL20" s="139"/>
      <c r="ZM20" s="139"/>
      <c r="ZN20" s="139"/>
      <c r="ZO20" s="139"/>
      <c r="ZP20" s="139"/>
      <c r="ZQ20" s="139"/>
      <c r="ZR20" s="139"/>
      <c r="ZS20" s="139"/>
      <c r="ZT20" s="139"/>
      <c r="ZU20" s="139"/>
      <c r="ZV20" s="139"/>
      <c r="ZW20" s="139"/>
      <c r="ZX20" s="139"/>
      <c r="ZY20" s="139"/>
      <c r="ZZ20" s="139"/>
      <c r="AAA20" s="139"/>
      <c r="AAB20" s="139"/>
      <c r="AAC20" s="139"/>
      <c r="AAD20" s="139"/>
      <c r="AAE20" s="139"/>
      <c r="AAF20" s="139"/>
      <c r="AAG20" s="139"/>
      <c r="AAH20" s="139"/>
      <c r="AAI20" s="139"/>
      <c r="AAJ20" s="139"/>
      <c r="AAK20" s="139"/>
      <c r="AAL20" s="139"/>
      <c r="AAM20" s="139"/>
      <c r="AAN20" s="139"/>
      <c r="AAO20" s="139"/>
      <c r="AAP20" s="139"/>
      <c r="AAQ20" s="139"/>
      <c r="AAR20" s="139"/>
      <c r="AAS20" s="139"/>
      <c r="AAT20" s="139"/>
      <c r="AAU20" s="139"/>
      <c r="AAV20" s="139"/>
      <c r="AAW20" s="139"/>
      <c r="AAX20" s="139"/>
      <c r="AAY20" s="139"/>
      <c r="AAZ20" s="139"/>
      <c r="ABA20" s="139"/>
      <c r="ABB20" s="139"/>
      <c r="ABC20" s="139"/>
      <c r="ABD20" s="139"/>
      <c r="ABE20" s="139"/>
      <c r="ABF20" s="139"/>
      <c r="ABG20" s="139"/>
      <c r="ABH20" s="139"/>
      <c r="ABI20" s="139"/>
      <c r="ABJ20" s="139"/>
      <c r="ABK20" s="139"/>
      <c r="ABL20" s="139"/>
      <c r="ABM20" s="139"/>
      <c r="ABN20" s="139"/>
      <c r="ABO20" s="139"/>
      <c r="ABP20" s="139"/>
      <c r="ABQ20" s="139"/>
      <c r="ABR20" s="139"/>
      <c r="ABS20" s="139"/>
      <c r="ABT20" s="139"/>
      <c r="ABU20" s="139"/>
      <c r="ABV20" s="139"/>
      <c r="ABW20" s="139"/>
      <c r="ABX20" s="139"/>
      <c r="ABY20" s="139"/>
      <c r="ABZ20" s="139"/>
      <c r="ACA20" s="139"/>
      <c r="ACB20" s="139"/>
      <c r="ACC20" s="139"/>
      <c r="ACD20" s="139"/>
      <c r="ACE20" s="139"/>
      <c r="ACF20" s="139"/>
      <c r="ACG20" s="139"/>
      <c r="ACH20" s="139"/>
      <c r="ACI20" s="139"/>
      <c r="ACJ20" s="139"/>
      <c r="ACK20" s="139"/>
      <c r="ACL20" s="139"/>
      <c r="ACM20" s="139"/>
      <c r="ACN20" s="139"/>
      <c r="ACO20" s="139"/>
      <c r="ACP20" s="139"/>
      <c r="ACQ20" s="139"/>
      <c r="ACR20" s="139"/>
      <c r="ACS20" s="139"/>
      <c r="ACT20" s="139"/>
      <c r="ACU20" s="139"/>
      <c r="ACV20" s="139"/>
      <c r="ACW20" s="139"/>
      <c r="ACX20" s="139"/>
      <c r="ACY20" s="139"/>
      <c r="ACZ20" s="139"/>
      <c r="ADA20" s="139"/>
      <c r="ADB20" s="139"/>
      <c r="ADC20" s="139"/>
      <c r="ADD20" s="139"/>
      <c r="ADE20" s="139"/>
      <c r="ADF20" s="139"/>
      <c r="ADG20" s="139"/>
      <c r="ADH20" s="139"/>
      <c r="ADI20" s="139"/>
      <c r="ADJ20" s="139"/>
      <c r="ADK20" s="139"/>
      <c r="ADL20" s="139"/>
      <c r="ADM20" s="139"/>
      <c r="ADN20" s="139"/>
      <c r="ADO20" s="139"/>
      <c r="ADP20" s="139"/>
      <c r="ADQ20" s="139"/>
      <c r="ADR20" s="139"/>
      <c r="ADS20" s="139"/>
      <c r="ADT20" s="139"/>
      <c r="ADU20" s="139"/>
      <c r="ADV20" s="139"/>
      <c r="ADW20" s="139"/>
      <c r="ADX20" s="139"/>
      <c r="ADY20" s="139"/>
      <c r="ADZ20" s="139"/>
      <c r="AEA20" s="139"/>
      <c r="AEB20" s="139"/>
      <c r="AEC20" s="139"/>
      <c r="AED20" s="139"/>
      <c r="AEE20" s="139"/>
      <c r="AEF20" s="139"/>
      <c r="AEG20" s="139"/>
      <c r="AEH20" s="139"/>
      <c r="AEI20" s="139"/>
      <c r="AEJ20" s="139"/>
      <c r="AEK20" s="139"/>
      <c r="AEL20" s="139"/>
      <c r="AEM20" s="139"/>
      <c r="AEN20" s="139"/>
      <c r="AEO20" s="139"/>
      <c r="AEP20" s="139"/>
      <c r="AEQ20" s="139"/>
      <c r="AER20" s="139"/>
      <c r="AES20" s="139"/>
      <c r="AET20" s="139"/>
      <c r="AEU20" s="139"/>
      <c r="AEV20" s="139"/>
      <c r="AEW20" s="139"/>
      <c r="AEX20" s="139"/>
      <c r="AEY20" s="139"/>
      <c r="AEZ20" s="139"/>
      <c r="AFA20" s="139"/>
      <c r="AFB20" s="139"/>
      <c r="AFC20" s="139"/>
      <c r="AFD20" s="139"/>
      <c r="AFE20" s="139"/>
      <c r="AFF20" s="139"/>
      <c r="AFG20" s="139"/>
      <c r="AFH20" s="139"/>
      <c r="AFI20" s="139"/>
      <c r="AFJ20" s="139"/>
      <c r="AFK20" s="139"/>
      <c r="AFL20" s="139"/>
      <c r="AFM20" s="139"/>
      <c r="AFN20" s="139"/>
      <c r="AFO20" s="139"/>
      <c r="AFP20" s="139"/>
      <c r="AFQ20" s="139"/>
      <c r="AFR20" s="139"/>
      <c r="AFS20" s="139"/>
      <c r="AFT20" s="139"/>
      <c r="AFU20" s="139"/>
      <c r="AFV20" s="139"/>
      <c r="AFW20" s="139"/>
      <c r="AFX20" s="139"/>
      <c r="AFY20" s="139"/>
      <c r="AFZ20" s="139"/>
      <c r="AGA20" s="139"/>
      <c r="AGB20" s="139"/>
      <c r="AGC20" s="139"/>
      <c r="AGD20" s="139"/>
      <c r="AGE20" s="139"/>
      <c r="AGF20" s="139"/>
      <c r="AGG20" s="139"/>
      <c r="AGH20" s="139"/>
      <c r="AGI20" s="139"/>
      <c r="AGJ20" s="139"/>
      <c r="AGK20" s="139"/>
      <c r="AGL20" s="139"/>
      <c r="AGM20" s="139"/>
      <c r="AGN20" s="139"/>
      <c r="AGO20" s="139"/>
      <c r="AGP20" s="139"/>
      <c r="AGQ20" s="139"/>
      <c r="AGR20" s="139"/>
      <c r="AGS20" s="139"/>
      <c r="AGT20" s="139"/>
      <c r="AGU20" s="139"/>
      <c r="AGV20" s="139"/>
      <c r="AGW20" s="139"/>
      <c r="AGX20" s="139"/>
      <c r="AGY20" s="139"/>
      <c r="AGZ20" s="139"/>
      <c r="AHA20" s="139"/>
      <c r="AHB20" s="139"/>
      <c r="AHC20" s="139"/>
      <c r="AHD20" s="139"/>
      <c r="AHE20" s="139"/>
      <c r="AHF20" s="139"/>
      <c r="AHG20" s="139"/>
      <c r="AHH20" s="139"/>
      <c r="AHI20" s="139"/>
      <c r="AHJ20" s="139"/>
      <c r="AHK20" s="139"/>
      <c r="AHL20" s="139"/>
      <c r="AHM20" s="139"/>
      <c r="AHN20" s="139"/>
      <c r="AHO20" s="139"/>
      <c r="AHP20" s="139"/>
      <c r="AHQ20" s="139"/>
      <c r="AHR20" s="139"/>
      <c r="AHS20" s="139"/>
      <c r="AHT20" s="139"/>
      <c r="AHU20" s="139"/>
      <c r="AHV20" s="139"/>
      <c r="AHW20" s="139"/>
      <c r="AHX20" s="139"/>
      <c r="AHY20" s="139"/>
      <c r="AHZ20" s="139"/>
      <c r="AIA20" s="139"/>
      <c r="AIB20" s="139"/>
      <c r="AIC20" s="139"/>
      <c r="AID20" s="139"/>
      <c r="AIE20" s="139"/>
      <c r="AIF20" s="139"/>
      <c r="AIG20" s="139"/>
      <c r="AIH20" s="139"/>
      <c r="AII20" s="139"/>
      <c r="AIJ20" s="139"/>
      <c r="AIK20" s="139"/>
      <c r="AIL20" s="139"/>
      <c r="AIM20" s="139"/>
      <c r="AIN20" s="139"/>
      <c r="AIO20" s="139"/>
      <c r="AIP20" s="139"/>
      <c r="AIQ20" s="139"/>
      <c r="AIR20" s="139"/>
      <c r="AIS20" s="139"/>
      <c r="AIT20" s="139"/>
      <c r="AIU20" s="139"/>
      <c r="AIV20" s="139"/>
      <c r="AIW20" s="139"/>
      <c r="AIX20" s="139"/>
      <c r="AIY20" s="139"/>
      <c r="AIZ20" s="139"/>
      <c r="AJA20" s="139"/>
      <c r="AJB20" s="139"/>
      <c r="AJC20" s="139"/>
      <c r="AJD20" s="139"/>
      <c r="AJE20" s="139"/>
      <c r="AJF20" s="139"/>
      <c r="AJG20" s="139"/>
      <c r="AJH20" s="139"/>
      <c r="AJI20" s="139"/>
      <c r="AJJ20" s="139"/>
      <c r="AJK20" s="139"/>
      <c r="AJL20" s="139"/>
      <c r="AJM20" s="139"/>
      <c r="AJN20" s="139"/>
      <c r="AJO20" s="139"/>
      <c r="AJP20" s="139"/>
      <c r="AJQ20" s="139"/>
      <c r="AJR20" s="139"/>
      <c r="AJS20" s="139"/>
      <c r="AJT20" s="139"/>
      <c r="AJU20" s="139"/>
      <c r="AJV20" s="139"/>
      <c r="AJW20" s="139"/>
      <c r="AJX20" s="139"/>
      <c r="AJY20" s="139"/>
      <c r="AJZ20" s="139"/>
      <c r="AKA20" s="139"/>
      <c r="AKB20" s="139"/>
      <c r="AKC20" s="139"/>
      <c r="AKD20" s="139"/>
      <c r="AKE20" s="139"/>
      <c r="AKF20" s="139"/>
      <c r="AKG20" s="139"/>
      <c r="AKH20" s="139"/>
      <c r="AKI20" s="139"/>
      <c r="AKJ20" s="139"/>
      <c r="AKK20" s="139"/>
      <c r="AKL20" s="139"/>
      <c r="AKM20" s="139"/>
      <c r="AKN20" s="139"/>
      <c r="AKO20" s="139"/>
      <c r="AKP20" s="139"/>
      <c r="AKQ20" s="139"/>
      <c r="AKR20" s="139"/>
      <c r="AKS20" s="139"/>
      <c r="AKT20" s="139"/>
      <c r="AKU20" s="139"/>
      <c r="AKV20" s="139"/>
      <c r="AKW20" s="139"/>
      <c r="AKX20" s="139"/>
      <c r="AKY20" s="139"/>
      <c r="AKZ20" s="139"/>
      <c r="ALA20" s="139"/>
      <c r="ALB20" s="139"/>
      <c r="ALC20" s="139"/>
      <c r="ALD20" s="139"/>
      <c r="ALE20" s="139"/>
      <c r="ALF20" s="139"/>
      <c r="ALG20" s="139"/>
      <c r="ALH20" s="139"/>
      <c r="ALI20" s="139"/>
      <c r="ALJ20" s="139"/>
      <c r="ALK20" s="139"/>
      <c r="ALL20" s="139"/>
      <c r="ALM20" s="139"/>
      <c r="ALN20" s="139"/>
      <c r="ALO20" s="139"/>
      <c r="ALP20" s="139"/>
      <c r="ALQ20" s="139"/>
      <c r="ALR20" s="139"/>
      <c r="ALS20" s="139"/>
      <c r="ALT20" s="139"/>
      <c r="ALU20" s="139"/>
      <c r="ALV20" s="139"/>
      <c r="ALW20" s="139"/>
      <c r="ALX20" s="139"/>
      <c r="ALY20" s="139"/>
      <c r="ALZ20" s="139"/>
      <c r="AMA20" s="139"/>
      <c r="AMB20" s="139"/>
      <c r="AMC20" s="139"/>
      <c r="AMD20" s="139"/>
      <c r="AME20" s="139"/>
    </row>
    <row r="21" spans="1:1024" s="140" customFormat="1" ht="15.75" x14ac:dyDescent="0.25">
      <c r="A21" s="177"/>
      <c r="B21" s="177"/>
      <c r="C21" s="177"/>
      <c r="D21" s="177"/>
      <c r="E21" s="177"/>
      <c r="F21" s="177"/>
      <c r="G21" s="177"/>
      <c r="H21" s="127"/>
      <c r="I21" s="128"/>
      <c r="J21" s="177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  <c r="DK21" s="139"/>
      <c r="DL21" s="139"/>
      <c r="DM21" s="139"/>
      <c r="DN21" s="139"/>
      <c r="DO21" s="139"/>
      <c r="DP21" s="139"/>
      <c r="DQ21" s="139"/>
      <c r="DR21" s="139"/>
      <c r="DS21" s="139"/>
      <c r="DT21" s="139"/>
      <c r="DU21" s="139"/>
      <c r="DV21" s="139"/>
      <c r="DW21" s="139"/>
      <c r="DX21" s="139"/>
      <c r="DY21" s="139"/>
      <c r="DZ21" s="139"/>
      <c r="EA21" s="139"/>
      <c r="EB21" s="139"/>
      <c r="EC21" s="139"/>
      <c r="ED21" s="139"/>
      <c r="EE21" s="139"/>
      <c r="EF21" s="139"/>
      <c r="EG21" s="139"/>
      <c r="EH21" s="139"/>
      <c r="EI21" s="139"/>
      <c r="EJ21" s="139"/>
      <c r="EK21" s="139"/>
      <c r="EL21" s="139"/>
      <c r="EM21" s="139"/>
      <c r="EN21" s="139"/>
      <c r="EO21" s="139"/>
      <c r="EP21" s="139"/>
      <c r="EQ21" s="139"/>
      <c r="ER21" s="139"/>
      <c r="ES21" s="139"/>
      <c r="ET21" s="139"/>
      <c r="EU21" s="139"/>
      <c r="EV21" s="139"/>
      <c r="EW21" s="139"/>
      <c r="EX21" s="139"/>
      <c r="EY21" s="139"/>
      <c r="EZ21" s="139"/>
      <c r="FA21" s="139"/>
      <c r="FB21" s="139"/>
      <c r="FC21" s="139"/>
      <c r="FD21" s="139"/>
      <c r="FE21" s="139"/>
      <c r="FF21" s="139"/>
      <c r="FG21" s="139"/>
      <c r="FH21" s="139"/>
      <c r="FI21" s="139"/>
      <c r="FJ21" s="139"/>
      <c r="FK21" s="139"/>
      <c r="FL21" s="139"/>
      <c r="FM21" s="139"/>
      <c r="FN21" s="139"/>
      <c r="FO21" s="139"/>
      <c r="FP21" s="139"/>
      <c r="FQ21" s="139"/>
      <c r="FR21" s="139"/>
      <c r="FS21" s="139"/>
      <c r="FT21" s="139"/>
      <c r="FU21" s="139"/>
      <c r="FV21" s="139"/>
      <c r="FW21" s="139"/>
      <c r="FX21" s="139"/>
      <c r="FY21" s="139"/>
      <c r="FZ21" s="139"/>
      <c r="GA21" s="139"/>
      <c r="GB21" s="139"/>
      <c r="GC21" s="139"/>
      <c r="GD21" s="139"/>
      <c r="GE21" s="139"/>
      <c r="GF21" s="139"/>
      <c r="GG21" s="139"/>
      <c r="GH21" s="139"/>
      <c r="GI21" s="139"/>
      <c r="GJ21" s="139"/>
      <c r="GK21" s="139"/>
      <c r="GL21" s="139"/>
      <c r="GM21" s="139"/>
      <c r="GN21" s="139"/>
      <c r="GO21" s="139"/>
      <c r="GP21" s="139"/>
      <c r="GQ21" s="139"/>
      <c r="GR21" s="139"/>
      <c r="GS21" s="139"/>
      <c r="GT21" s="139"/>
      <c r="GU21" s="139"/>
      <c r="GV21" s="139"/>
      <c r="GW21" s="139"/>
      <c r="GX21" s="139"/>
      <c r="GY21" s="139"/>
      <c r="GZ21" s="139"/>
      <c r="HA21" s="139"/>
      <c r="HB21" s="139"/>
      <c r="HC21" s="139"/>
      <c r="HD21" s="139"/>
      <c r="HE21" s="139"/>
      <c r="HF21" s="139"/>
      <c r="HG21" s="139"/>
      <c r="HH21" s="139"/>
      <c r="HI21" s="139"/>
      <c r="HJ21" s="139"/>
      <c r="HK21" s="139"/>
      <c r="HL21" s="139"/>
      <c r="HM21" s="139"/>
      <c r="HN21" s="139"/>
      <c r="HO21" s="139"/>
      <c r="HP21" s="139"/>
      <c r="HQ21" s="139"/>
      <c r="HR21" s="139"/>
      <c r="HS21" s="139"/>
      <c r="HT21" s="139"/>
      <c r="HU21" s="139"/>
      <c r="HV21" s="139"/>
      <c r="HW21" s="139"/>
      <c r="HX21" s="139"/>
      <c r="HY21" s="139"/>
      <c r="HZ21" s="139"/>
      <c r="IA21" s="139"/>
      <c r="IB21" s="139"/>
      <c r="IC21" s="139"/>
      <c r="ID21" s="139"/>
      <c r="IE21" s="139"/>
      <c r="IF21" s="139"/>
      <c r="IG21" s="139"/>
      <c r="IH21" s="139"/>
      <c r="II21" s="139"/>
      <c r="IJ21" s="139"/>
      <c r="IK21" s="139"/>
      <c r="IL21" s="139"/>
      <c r="IM21" s="139"/>
      <c r="IN21" s="139"/>
      <c r="IO21" s="139"/>
      <c r="IP21" s="139"/>
      <c r="IQ21" s="139"/>
      <c r="IR21" s="139"/>
      <c r="IS21" s="139"/>
      <c r="IT21" s="139"/>
      <c r="IU21" s="139"/>
      <c r="IV21" s="139"/>
      <c r="IW21" s="139"/>
      <c r="IX21" s="139"/>
      <c r="IY21" s="139"/>
      <c r="IZ21" s="139"/>
      <c r="JA21" s="139"/>
      <c r="JB21" s="139"/>
      <c r="JC21" s="139"/>
      <c r="JD21" s="139"/>
      <c r="JE21" s="139"/>
      <c r="JF21" s="139"/>
      <c r="JG21" s="139"/>
      <c r="JH21" s="139"/>
      <c r="JI21" s="139"/>
      <c r="JJ21" s="139"/>
      <c r="JK21" s="139"/>
      <c r="JL21" s="139"/>
      <c r="JM21" s="139"/>
      <c r="JN21" s="139"/>
      <c r="JO21" s="139"/>
      <c r="JP21" s="139"/>
      <c r="JQ21" s="139"/>
      <c r="JR21" s="139"/>
      <c r="JS21" s="139"/>
      <c r="JT21" s="139"/>
      <c r="JU21" s="139"/>
      <c r="JV21" s="139"/>
      <c r="JW21" s="139"/>
      <c r="JX21" s="139"/>
      <c r="JY21" s="139"/>
      <c r="JZ21" s="139"/>
      <c r="KA21" s="139"/>
      <c r="KB21" s="139"/>
      <c r="KC21" s="139"/>
      <c r="KD21" s="139"/>
      <c r="KE21" s="139"/>
      <c r="KF21" s="139"/>
      <c r="KG21" s="139"/>
      <c r="KH21" s="139"/>
      <c r="KI21" s="139"/>
      <c r="KJ21" s="139"/>
      <c r="KK21" s="139"/>
      <c r="KL21" s="139"/>
      <c r="KM21" s="139"/>
      <c r="KN21" s="139"/>
      <c r="KO21" s="139"/>
      <c r="KP21" s="139"/>
      <c r="KQ21" s="139"/>
      <c r="KR21" s="139"/>
      <c r="KS21" s="139"/>
      <c r="KT21" s="139"/>
      <c r="KU21" s="139"/>
      <c r="KV21" s="139"/>
      <c r="KW21" s="139"/>
      <c r="KX21" s="139"/>
      <c r="KY21" s="139"/>
      <c r="KZ21" s="139"/>
      <c r="LA21" s="139"/>
      <c r="LB21" s="139"/>
      <c r="LC21" s="139"/>
      <c r="LD21" s="139"/>
      <c r="LE21" s="139"/>
      <c r="LF21" s="139"/>
      <c r="LG21" s="139"/>
      <c r="LH21" s="139"/>
      <c r="LI21" s="139"/>
      <c r="LJ21" s="139"/>
      <c r="LK21" s="139"/>
      <c r="LL21" s="139"/>
      <c r="LM21" s="139"/>
      <c r="LN21" s="139"/>
      <c r="LO21" s="139"/>
      <c r="LP21" s="139"/>
      <c r="LQ21" s="139"/>
      <c r="LR21" s="139"/>
      <c r="LS21" s="139"/>
      <c r="LT21" s="139"/>
      <c r="LU21" s="139"/>
      <c r="LV21" s="139"/>
      <c r="LW21" s="139"/>
      <c r="LX21" s="139"/>
      <c r="LY21" s="139"/>
      <c r="LZ21" s="139"/>
      <c r="MA21" s="139"/>
      <c r="MB21" s="139"/>
      <c r="MC21" s="139"/>
      <c r="MD21" s="139"/>
      <c r="ME21" s="139"/>
      <c r="MF21" s="139"/>
      <c r="MG21" s="139"/>
      <c r="MH21" s="139"/>
      <c r="MI21" s="139"/>
      <c r="MJ21" s="139"/>
      <c r="MK21" s="139"/>
      <c r="ML21" s="139"/>
      <c r="MM21" s="139"/>
      <c r="MN21" s="139"/>
      <c r="MO21" s="139"/>
      <c r="MP21" s="139"/>
      <c r="MQ21" s="139"/>
      <c r="MR21" s="139"/>
      <c r="MS21" s="139"/>
      <c r="MT21" s="139"/>
      <c r="MU21" s="139"/>
      <c r="MV21" s="139"/>
      <c r="MW21" s="139"/>
      <c r="MX21" s="139"/>
      <c r="MY21" s="139"/>
      <c r="MZ21" s="139"/>
      <c r="NA21" s="139"/>
      <c r="NB21" s="139"/>
      <c r="NC21" s="139"/>
      <c r="ND21" s="139"/>
      <c r="NE21" s="139"/>
      <c r="NF21" s="139"/>
      <c r="NG21" s="139"/>
      <c r="NH21" s="139"/>
      <c r="NI21" s="139"/>
      <c r="NJ21" s="139"/>
      <c r="NK21" s="139"/>
      <c r="NL21" s="139"/>
      <c r="NM21" s="139"/>
      <c r="NN21" s="139"/>
      <c r="NO21" s="139"/>
      <c r="NP21" s="139"/>
      <c r="NQ21" s="139"/>
      <c r="NR21" s="139"/>
      <c r="NS21" s="139"/>
      <c r="NT21" s="139"/>
      <c r="NU21" s="139"/>
      <c r="NV21" s="139"/>
      <c r="NW21" s="139"/>
      <c r="NX21" s="139"/>
      <c r="NY21" s="139"/>
      <c r="NZ21" s="139"/>
      <c r="OA21" s="139"/>
      <c r="OB21" s="139"/>
      <c r="OC21" s="139"/>
      <c r="OD21" s="139"/>
      <c r="OE21" s="139"/>
      <c r="OF21" s="139"/>
      <c r="OG21" s="139"/>
      <c r="OH21" s="139"/>
      <c r="OI21" s="139"/>
      <c r="OJ21" s="139"/>
      <c r="OK21" s="139"/>
      <c r="OL21" s="139"/>
      <c r="OM21" s="139"/>
      <c r="ON21" s="139"/>
      <c r="OO21" s="139"/>
      <c r="OP21" s="139"/>
      <c r="OQ21" s="139"/>
      <c r="OR21" s="139"/>
      <c r="OS21" s="139"/>
      <c r="OT21" s="139"/>
      <c r="OU21" s="139"/>
      <c r="OV21" s="139"/>
      <c r="OW21" s="139"/>
      <c r="OX21" s="139"/>
      <c r="OY21" s="139"/>
      <c r="OZ21" s="139"/>
      <c r="PA21" s="139"/>
      <c r="PB21" s="139"/>
      <c r="PC21" s="139"/>
      <c r="PD21" s="139"/>
      <c r="PE21" s="139"/>
      <c r="PF21" s="139"/>
      <c r="PG21" s="139"/>
      <c r="PH21" s="139"/>
      <c r="PI21" s="139"/>
      <c r="PJ21" s="139"/>
      <c r="PK21" s="139"/>
      <c r="PL21" s="139"/>
      <c r="PM21" s="139"/>
      <c r="PN21" s="139"/>
      <c r="PO21" s="139"/>
      <c r="PP21" s="139"/>
      <c r="PQ21" s="139"/>
      <c r="PR21" s="139"/>
      <c r="PS21" s="139"/>
      <c r="PT21" s="139"/>
      <c r="PU21" s="139"/>
      <c r="PV21" s="139"/>
      <c r="PW21" s="139"/>
      <c r="PX21" s="139"/>
      <c r="PY21" s="139"/>
      <c r="PZ21" s="139"/>
      <c r="QA21" s="139"/>
      <c r="QB21" s="139"/>
      <c r="QC21" s="139"/>
      <c r="QD21" s="139"/>
      <c r="QE21" s="139"/>
      <c r="QF21" s="139"/>
      <c r="QG21" s="139"/>
      <c r="QH21" s="139"/>
      <c r="QI21" s="139"/>
      <c r="QJ21" s="139"/>
      <c r="QK21" s="139"/>
      <c r="QL21" s="139"/>
      <c r="QM21" s="139"/>
      <c r="QN21" s="139"/>
      <c r="QO21" s="139"/>
      <c r="QP21" s="139"/>
      <c r="QQ21" s="139"/>
      <c r="QR21" s="139"/>
      <c r="QS21" s="139"/>
      <c r="QT21" s="139"/>
      <c r="QU21" s="139"/>
      <c r="QV21" s="139"/>
      <c r="QW21" s="139"/>
      <c r="QX21" s="139"/>
      <c r="QY21" s="139"/>
      <c r="QZ21" s="139"/>
      <c r="RA21" s="139"/>
      <c r="RB21" s="139"/>
      <c r="RC21" s="139"/>
      <c r="RD21" s="139"/>
      <c r="RE21" s="139"/>
      <c r="RF21" s="139"/>
      <c r="RG21" s="139"/>
      <c r="RH21" s="139"/>
      <c r="RI21" s="139"/>
      <c r="RJ21" s="139"/>
      <c r="RK21" s="139"/>
      <c r="RL21" s="139"/>
      <c r="RM21" s="139"/>
      <c r="RN21" s="139"/>
      <c r="RO21" s="139"/>
      <c r="RP21" s="139"/>
      <c r="RQ21" s="139"/>
      <c r="RR21" s="139"/>
      <c r="RS21" s="139"/>
      <c r="RT21" s="139"/>
      <c r="RU21" s="139"/>
      <c r="RV21" s="139"/>
      <c r="RW21" s="139"/>
      <c r="RX21" s="139"/>
      <c r="RY21" s="139"/>
      <c r="RZ21" s="139"/>
      <c r="SA21" s="139"/>
      <c r="SB21" s="139"/>
      <c r="SC21" s="139"/>
      <c r="SD21" s="139"/>
      <c r="SE21" s="139"/>
      <c r="SF21" s="139"/>
      <c r="SG21" s="139"/>
      <c r="SH21" s="139"/>
      <c r="SI21" s="139"/>
      <c r="SJ21" s="139"/>
      <c r="SK21" s="139"/>
      <c r="SL21" s="139"/>
      <c r="SM21" s="139"/>
      <c r="SN21" s="139"/>
      <c r="SO21" s="139"/>
      <c r="SP21" s="139"/>
      <c r="SQ21" s="139"/>
      <c r="SR21" s="139"/>
      <c r="SS21" s="139"/>
      <c r="ST21" s="139"/>
      <c r="SU21" s="139"/>
      <c r="SV21" s="139"/>
      <c r="SW21" s="139"/>
      <c r="SX21" s="139"/>
      <c r="SY21" s="139"/>
      <c r="SZ21" s="139"/>
      <c r="TA21" s="139"/>
      <c r="TB21" s="139"/>
      <c r="TC21" s="139"/>
      <c r="TD21" s="139"/>
      <c r="TE21" s="139"/>
      <c r="TF21" s="139"/>
      <c r="TG21" s="139"/>
      <c r="TH21" s="139"/>
      <c r="TI21" s="139"/>
      <c r="TJ21" s="139"/>
      <c r="TK21" s="139"/>
      <c r="TL21" s="139"/>
      <c r="TM21" s="139"/>
      <c r="TN21" s="139"/>
      <c r="TO21" s="139"/>
      <c r="TP21" s="139"/>
      <c r="TQ21" s="139"/>
      <c r="TR21" s="139"/>
      <c r="TS21" s="139"/>
      <c r="TT21" s="139"/>
      <c r="TU21" s="139"/>
      <c r="TV21" s="139"/>
      <c r="TW21" s="139"/>
      <c r="TX21" s="139"/>
      <c r="TY21" s="139"/>
      <c r="TZ21" s="139"/>
      <c r="UA21" s="139"/>
      <c r="UB21" s="139"/>
      <c r="UC21" s="139"/>
      <c r="UD21" s="139"/>
      <c r="UE21" s="139"/>
      <c r="UF21" s="139"/>
      <c r="UG21" s="139"/>
      <c r="UH21" s="139"/>
      <c r="UI21" s="139"/>
      <c r="UJ21" s="139"/>
      <c r="UK21" s="139"/>
      <c r="UL21" s="139"/>
      <c r="UM21" s="139"/>
      <c r="UN21" s="139"/>
      <c r="UO21" s="139"/>
      <c r="UP21" s="139"/>
      <c r="UQ21" s="139"/>
      <c r="UR21" s="139"/>
      <c r="US21" s="139"/>
      <c r="UT21" s="139"/>
      <c r="UU21" s="139"/>
      <c r="UV21" s="139"/>
      <c r="UW21" s="139"/>
      <c r="UX21" s="139"/>
      <c r="UY21" s="139"/>
      <c r="UZ21" s="139"/>
      <c r="VA21" s="139"/>
      <c r="VB21" s="139"/>
      <c r="VC21" s="139"/>
      <c r="VD21" s="139"/>
      <c r="VE21" s="139"/>
      <c r="VF21" s="139"/>
      <c r="VG21" s="139"/>
      <c r="VH21" s="139"/>
      <c r="VI21" s="139"/>
      <c r="VJ21" s="139"/>
      <c r="VK21" s="139"/>
      <c r="VL21" s="139"/>
      <c r="VM21" s="139"/>
      <c r="VN21" s="139"/>
      <c r="VO21" s="139"/>
      <c r="VP21" s="139"/>
      <c r="VQ21" s="139"/>
      <c r="VR21" s="139"/>
      <c r="VS21" s="139"/>
      <c r="VT21" s="139"/>
      <c r="VU21" s="139"/>
      <c r="VV21" s="139"/>
      <c r="VW21" s="139"/>
      <c r="VX21" s="139"/>
      <c r="VY21" s="139"/>
      <c r="VZ21" s="139"/>
      <c r="WA21" s="139"/>
      <c r="WB21" s="139"/>
      <c r="WC21" s="139"/>
      <c r="WD21" s="139"/>
      <c r="WE21" s="139"/>
      <c r="WF21" s="139"/>
      <c r="WG21" s="139"/>
      <c r="WH21" s="139"/>
      <c r="WI21" s="139"/>
      <c r="WJ21" s="139"/>
      <c r="WK21" s="139"/>
      <c r="WL21" s="139"/>
      <c r="WM21" s="139"/>
      <c r="WN21" s="139"/>
      <c r="WO21" s="139"/>
      <c r="WP21" s="139"/>
      <c r="WQ21" s="139"/>
      <c r="WR21" s="139"/>
      <c r="WS21" s="139"/>
      <c r="WT21" s="139"/>
      <c r="WU21" s="139"/>
      <c r="WV21" s="139"/>
      <c r="WW21" s="139"/>
      <c r="WX21" s="139"/>
      <c r="WY21" s="139"/>
      <c r="WZ21" s="139"/>
      <c r="XA21" s="139"/>
      <c r="XB21" s="139"/>
      <c r="XC21" s="139"/>
      <c r="XD21" s="139"/>
      <c r="XE21" s="139"/>
      <c r="XF21" s="139"/>
      <c r="XG21" s="139"/>
      <c r="XH21" s="139"/>
      <c r="XI21" s="139"/>
      <c r="XJ21" s="139"/>
      <c r="XK21" s="139"/>
      <c r="XL21" s="139"/>
      <c r="XM21" s="139"/>
      <c r="XN21" s="139"/>
      <c r="XO21" s="139"/>
      <c r="XP21" s="139"/>
      <c r="XQ21" s="139"/>
      <c r="XR21" s="139"/>
      <c r="XS21" s="139"/>
      <c r="XT21" s="139"/>
      <c r="XU21" s="139"/>
      <c r="XV21" s="139"/>
      <c r="XW21" s="139"/>
      <c r="XX21" s="139"/>
      <c r="XY21" s="139"/>
      <c r="XZ21" s="139"/>
      <c r="YA21" s="139"/>
      <c r="YB21" s="139"/>
      <c r="YC21" s="139"/>
      <c r="YD21" s="139"/>
      <c r="YE21" s="139"/>
      <c r="YF21" s="139"/>
      <c r="YG21" s="139"/>
      <c r="YH21" s="139"/>
      <c r="YI21" s="139"/>
      <c r="YJ21" s="139"/>
      <c r="YK21" s="139"/>
      <c r="YL21" s="139"/>
      <c r="YM21" s="139"/>
      <c r="YN21" s="139"/>
      <c r="YO21" s="139"/>
      <c r="YP21" s="139"/>
      <c r="YQ21" s="139"/>
      <c r="YR21" s="139"/>
      <c r="YS21" s="139"/>
      <c r="YT21" s="139"/>
      <c r="YU21" s="139"/>
      <c r="YV21" s="139"/>
      <c r="YW21" s="139"/>
      <c r="YX21" s="139"/>
      <c r="YY21" s="139"/>
      <c r="YZ21" s="139"/>
      <c r="ZA21" s="139"/>
      <c r="ZB21" s="139"/>
      <c r="ZC21" s="139"/>
      <c r="ZD21" s="139"/>
      <c r="ZE21" s="139"/>
      <c r="ZF21" s="139"/>
      <c r="ZG21" s="139"/>
      <c r="ZH21" s="139"/>
      <c r="ZI21" s="139"/>
      <c r="ZJ21" s="139"/>
      <c r="ZK21" s="139"/>
      <c r="ZL21" s="139"/>
      <c r="ZM21" s="139"/>
      <c r="ZN21" s="139"/>
      <c r="ZO21" s="139"/>
      <c r="ZP21" s="139"/>
      <c r="ZQ21" s="139"/>
      <c r="ZR21" s="139"/>
      <c r="ZS21" s="139"/>
      <c r="ZT21" s="139"/>
      <c r="ZU21" s="139"/>
      <c r="ZV21" s="139"/>
      <c r="ZW21" s="139"/>
      <c r="ZX21" s="139"/>
      <c r="ZY21" s="139"/>
      <c r="ZZ21" s="139"/>
      <c r="AAA21" s="139"/>
      <c r="AAB21" s="139"/>
      <c r="AAC21" s="139"/>
      <c r="AAD21" s="139"/>
      <c r="AAE21" s="139"/>
      <c r="AAF21" s="139"/>
      <c r="AAG21" s="139"/>
      <c r="AAH21" s="139"/>
      <c r="AAI21" s="139"/>
      <c r="AAJ21" s="139"/>
      <c r="AAK21" s="139"/>
      <c r="AAL21" s="139"/>
      <c r="AAM21" s="139"/>
      <c r="AAN21" s="139"/>
      <c r="AAO21" s="139"/>
      <c r="AAP21" s="139"/>
      <c r="AAQ21" s="139"/>
      <c r="AAR21" s="139"/>
      <c r="AAS21" s="139"/>
      <c r="AAT21" s="139"/>
      <c r="AAU21" s="139"/>
      <c r="AAV21" s="139"/>
      <c r="AAW21" s="139"/>
      <c r="AAX21" s="139"/>
      <c r="AAY21" s="139"/>
      <c r="AAZ21" s="139"/>
      <c r="ABA21" s="139"/>
      <c r="ABB21" s="139"/>
      <c r="ABC21" s="139"/>
      <c r="ABD21" s="139"/>
      <c r="ABE21" s="139"/>
      <c r="ABF21" s="139"/>
      <c r="ABG21" s="139"/>
      <c r="ABH21" s="139"/>
      <c r="ABI21" s="139"/>
      <c r="ABJ21" s="139"/>
      <c r="ABK21" s="139"/>
      <c r="ABL21" s="139"/>
      <c r="ABM21" s="139"/>
      <c r="ABN21" s="139"/>
      <c r="ABO21" s="139"/>
      <c r="ABP21" s="139"/>
      <c r="ABQ21" s="139"/>
      <c r="ABR21" s="139"/>
      <c r="ABS21" s="139"/>
      <c r="ABT21" s="139"/>
      <c r="ABU21" s="139"/>
      <c r="ABV21" s="139"/>
      <c r="ABW21" s="139"/>
      <c r="ABX21" s="139"/>
      <c r="ABY21" s="139"/>
      <c r="ABZ21" s="139"/>
      <c r="ACA21" s="139"/>
      <c r="ACB21" s="139"/>
      <c r="ACC21" s="139"/>
      <c r="ACD21" s="139"/>
      <c r="ACE21" s="139"/>
      <c r="ACF21" s="139"/>
      <c r="ACG21" s="139"/>
      <c r="ACH21" s="139"/>
      <c r="ACI21" s="139"/>
      <c r="ACJ21" s="139"/>
      <c r="ACK21" s="139"/>
      <c r="ACL21" s="139"/>
      <c r="ACM21" s="139"/>
      <c r="ACN21" s="139"/>
      <c r="ACO21" s="139"/>
      <c r="ACP21" s="139"/>
      <c r="ACQ21" s="139"/>
      <c r="ACR21" s="139"/>
      <c r="ACS21" s="139"/>
      <c r="ACT21" s="139"/>
      <c r="ACU21" s="139"/>
      <c r="ACV21" s="139"/>
      <c r="ACW21" s="139"/>
      <c r="ACX21" s="139"/>
      <c r="ACY21" s="139"/>
      <c r="ACZ21" s="139"/>
      <c r="ADA21" s="139"/>
      <c r="ADB21" s="139"/>
      <c r="ADC21" s="139"/>
      <c r="ADD21" s="139"/>
      <c r="ADE21" s="139"/>
      <c r="ADF21" s="139"/>
      <c r="ADG21" s="139"/>
      <c r="ADH21" s="139"/>
      <c r="ADI21" s="139"/>
      <c r="ADJ21" s="139"/>
      <c r="ADK21" s="139"/>
      <c r="ADL21" s="139"/>
      <c r="ADM21" s="139"/>
      <c r="ADN21" s="139"/>
      <c r="ADO21" s="139"/>
      <c r="ADP21" s="139"/>
      <c r="ADQ21" s="139"/>
      <c r="ADR21" s="139"/>
      <c r="ADS21" s="139"/>
      <c r="ADT21" s="139"/>
      <c r="ADU21" s="139"/>
      <c r="ADV21" s="139"/>
      <c r="ADW21" s="139"/>
      <c r="ADX21" s="139"/>
      <c r="ADY21" s="139"/>
      <c r="ADZ21" s="139"/>
      <c r="AEA21" s="139"/>
      <c r="AEB21" s="139"/>
      <c r="AEC21" s="139"/>
      <c r="AED21" s="139"/>
      <c r="AEE21" s="139"/>
      <c r="AEF21" s="139"/>
      <c r="AEG21" s="139"/>
      <c r="AEH21" s="139"/>
      <c r="AEI21" s="139"/>
      <c r="AEJ21" s="139"/>
      <c r="AEK21" s="139"/>
      <c r="AEL21" s="139"/>
      <c r="AEM21" s="139"/>
      <c r="AEN21" s="139"/>
      <c r="AEO21" s="139"/>
      <c r="AEP21" s="139"/>
      <c r="AEQ21" s="139"/>
      <c r="AER21" s="139"/>
      <c r="AES21" s="139"/>
      <c r="AET21" s="139"/>
      <c r="AEU21" s="139"/>
      <c r="AEV21" s="139"/>
      <c r="AEW21" s="139"/>
      <c r="AEX21" s="139"/>
      <c r="AEY21" s="139"/>
      <c r="AEZ21" s="139"/>
      <c r="AFA21" s="139"/>
      <c r="AFB21" s="139"/>
      <c r="AFC21" s="139"/>
      <c r="AFD21" s="139"/>
      <c r="AFE21" s="139"/>
      <c r="AFF21" s="139"/>
      <c r="AFG21" s="139"/>
      <c r="AFH21" s="139"/>
      <c r="AFI21" s="139"/>
      <c r="AFJ21" s="139"/>
      <c r="AFK21" s="139"/>
      <c r="AFL21" s="139"/>
      <c r="AFM21" s="139"/>
      <c r="AFN21" s="139"/>
      <c r="AFO21" s="139"/>
      <c r="AFP21" s="139"/>
      <c r="AFQ21" s="139"/>
      <c r="AFR21" s="139"/>
      <c r="AFS21" s="139"/>
      <c r="AFT21" s="139"/>
      <c r="AFU21" s="139"/>
      <c r="AFV21" s="139"/>
      <c r="AFW21" s="139"/>
      <c r="AFX21" s="139"/>
      <c r="AFY21" s="139"/>
      <c r="AFZ21" s="139"/>
      <c r="AGA21" s="139"/>
      <c r="AGB21" s="139"/>
      <c r="AGC21" s="139"/>
      <c r="AGD21" s="139"/>
      <c r="AGE21" s="139"/>
      <c r="AGF21" s="139"/>
      <c r="AGG21" s="139"/>
      <c r="AGH21" s="139"/>
      <c r="AGI21" s="139"/>
      <c r="AGJ21" s="139"/>
      <c r="AGK21" s="139"/>
      <c r="AGL21" s="139"/>
      <c r="AGM21" s="139"/>
      <c r="AGN21" s="139"/>
      <c r="AGO21" s="139"/>
      <c r="AGP21" s="139"/>
      <c r="AGQ21" s="139"/>
      <c r="AGR21" s="139"/>
      <c r="AGS21" s="139"/>
      <c r="AGT21" s="139"/>
      <c r="AGU21" s="139"/>
      <c r="AGV21" s="139"/>
      <c r="AGW21" s="139"/>
      <c r="AGX21" s="139"/>
      <c r="AGY21" s="139"/>
      <c r="AGZ21" s="139"/>
      <c r="AHA21" s="139"/>
      <c r="AHB21" s="139"/>
      <c r="AHC21" s="139"/>
      <c r="AHD21" s="139"/>
      <c r="AHE21" s="139"/>
      <c r="AHF21" s="139"/>
      <c r="AHG21" s="139"/>
      <c r="AHH21" s="139"/>
      <c r="AHI21" s="139"/>
      <c r="AHJ21" s="139"/>
      <c r="AHK21" s="139"/>
      <c r="AHL21" s="139"/>
      <c r="AHM21" s="139"/>
      <c r="AHN21" s="139"/>
      <c r="AHO21" s="139"/>
      <c r="AHP21" s="139"/>
      <c r="AHQ21" s="139"/>
      <c r="AHR21" s="139"/>
      <c r="AHS21" s="139"/>
      <c r="AHT21" s="139"/>
      <c r="AHU21" s="139"/>
      <c r="AHV21" s="139"/>
      <c r="AHW21" s="139"/>
      <c r="AHX21" s="139"/>
      <c r="AHY21" s="139"/>
      <c r="AHZ21" s="139"/>
      <c r="AIA21" s="139"/>
      <c r="AIB21" s="139"/>
      <c r="AIC21" s="139"/>
      <c r="AID21" s="139"/>
      <c r="AIE21" s="139"/>
      <c r="AIF21" s="139"/>
      <c r="AIG21" s="139"/>
      <c r="AIH21" s="139"/>
      <c r="AII21" s="139"/>
      <c r="AIJ21" s="139"/>
      <c r="AIK21" s="139"/>
      <c r="AIL21" s="139"/>
      <c r="AIM21" s="139"/>
      <c r="AIN21" s="139"/>
      <c r="AIO21" s="139"/>
      <c r="AIP21" s="139"/>
      <c r="AIQ21" s="139"/>
      <c r="AIR21" s="139"/>
      <c r="AIS21" s="139"/>
      <c r="AIT21" s="139"/>
      <c r="AIU21" s="139"/>
      <c r="AIV21" s="139"/>
      <c r="AIW21" s="139"/>
      <c r="AIX21" s="139"/>
      <c r="AIY21" s="139"/>
      <c r="AIZ21" s="139"/>
      <c r="AJA21" s="139"/>
      <c r="AJB21" s="139"/>
      <c r="AJC21" s="139"/>
      <c r="AJD21" s="139"/>
      <c r="AJE21" s="139"/>
      <c r="AJF21" s="139"/>
      <c r="AJG21" s="139"/>
      <c r="AJH21" s="139"/>
      <c r="AJI21" s="139"/>
      <c r="AJJ21" s="139"/>
      <c r="AJK21" s="139"/>
      <c r="AJL21" s="139"/>
      <c r="AJM21" s="139"/>
      <c r="AJN21" s="139"/>
      <c r="AJO21" s="139"/>
      <c r="AJP21" s="139"/>
      <c r="AJQ21" s="139"/>
      <c r="AJR21" s="139"/>
      <c r="AJS21" s="139"/>
      <c r="AJT21" s="139"/>
      <c r="AJU21" s="139"/>
      <c r="AJV21" s="139"/>
      <c r="AJW21" s="139"/>
      <c r="AJX21" s="139"/>
      <c r="AJY21" s="139"/>
      <c r="AJZ21" s="139"/>
      <c r="AKA21" s="139"/>
      <c r="AKB21" s="139"/>
      <c r="AKC21" s="139"/>
      <c r="AKD21" s="139"/>
      <c r="AKE21" s="139"/>
      <c r="AKF21" s="139"/>
      <c r="AKG21" s="139"/>
      <c r="AKH21" s="139"/>
      <c r="AKI21" s="139"/>
      <c r="AKJ21" s="139"/>
      <c r="AKK21" s="139"/>
      <c r="AKL21" s="139"/>
      <c r="AKM21" s="139"/>
      <c r="AKN21" s="139"/>
      <c r="AKO21" s="139"/>
      <c r="AKP21" s="139"/>
      <c r="AKQ21" s="139"/>
      <c r="AKR21" s="139"/>
      <c r="AKS21" s="139"/>
      <c r="AKT21" s="139"/>
      <c r="AKU21" s="139"/>
      <c r="AKV21" s="139"/>
      <c r="AKW21" s="139"/>
      <c r="AKX21" s="139"/>
      <c r="AKY21" s="139"/>
      <c r="AKZ21" s="139"/>
      <c r="ALA21" s="139"/>
      <c r="ALB21" s="139"/>
      <c r="ALC21" s="139"/>
      <c r="ALD21" s="139"/>
      <c r="ALE21" s="139"/>
      <c r="ALF21" s="139"/>
      <c r="ALG21" s="139"/>
      <c r="ALH21" s="139"/>
      <c r="ALI21" s="139"/>
      <c r="ALJ21" s="139"/>
      <c r="ALK21" s="139"/>
      <c r="ALL21" s="139"/>
      <c r="ALM21" s="139"/>
      <c r="ALN21" s="139"/>
      <c r="ALO21" s="139"/>
      <c r="ALP21" s="139"/>
      <c r="ALQ21" s="139"/>
      <c r="ALR21" s="139"/>
      <c r="ALS21" s="139"/>
      <c r="ALT21" s="139"/>
      <c r="ALU21" s="139"/>
      <c r="ALV21" s="139"/>
      <c r="ALW21" s="139"/>
      <c r="ALX21" s="139"/>
      <c r="ALY21" s="139"/>
      <c r="ALZ21" s="139"/>
      <c r="AMA21" s="139"/>
      <c r="AMB21" s="139"/>
      <c r="AMC21" s="139"/>
      <c r="AMD21" s="139"/>
      <c r="AME21" s="139"/>
    </row>
    <row r="22" spans="1:1024" s="178" customFormat="1" x14ac:dyDescent="0.25">
      <c r="A22" s="212" t="s">
        <v>92</v>
      </c>
      <c r="B22" s="212"/>
      <c r="C22" s="212"/>
      <c r="D22" s="212"/>
      <c r="E22" s="212"/>
      <c r="F22" s="212"/>
      <c r="G22" s="212"/>
      <c r="H22" s="212"/>
      <c r="I22" s="212"/>
      <c r="J22" s="212"/>
      <c r="K22" s="212"/>
      <c r="L22" s="212"/>
    </row>
    <row r="23" spans="1:1024" s="178" customFormat="1" x14ac:dyDescent="0.25">
      <c r="A23" s="216" t="s">
        <v>96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</row>
    <row r="24" spans="1:1024" s="178" customFormat="1" ht="27" customHeight="1" x14ac:dyDescent="0.25">
      <c r="A24" s="204" t="s">
        <v>129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</row>
    <row r="25" spans="1:1024" s="178" customFormat="1" x14ac:dyDescent="0.25">
      <c r="A25" s="212" t="s">
        <v>62</v>
      </c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</row>
    <row r="26" spans="1:1024" s="178" customFormat="1" ht="15" customHeight="1" x14ac:dyDescent="0.25">
      <c r="A26" s="207" t="s">
        <v>95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</row>
    <row r="27" spans="1:1024" s="178" customFormat="1" x14ac:dyDescent="0.25">
      <c r="A27" s="205" t="s">
        <v>24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</row>
    <row r="28" spans="1:1024" s="178" customFormat="1" x14ac:dyDescent="0.25">
      <c r="A28" s="179" t="s">
        <v>135</v>
      </c>
      <c r="B28" s="179" t="s">
        <v>136</v>
      </c>
      <c r="C28" s="179"/>
      <c r="D28" s="179"/>
      <c r="E28" s="179"/>
      <c r="F28" s="179"/>
      <c r="G28" s="179"/>
      <c r="H28" s="179"/>
      <c r="I28" s="179"/>
      <c r="J28" s="179"/>
      <c r="K28" s="179"/>
      <c r="L28" s="179"/>
    </row>
    <row r="29" spans="1:1024" s="180" customFormat="1" x14ac:dyDescent="0.25">
      <c r="A29" s="207"/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</row>
    <row r="30" spans="1:1024" s="140" customFormat="1" x14ac:dyDescent="0.25">
      <c r="A30" s="139"/>
      <c r="B30" s="139"/>
      <c r="C30" s="181"/>
      <c r="D30" s="139"/>
      <c r="E30" s="181"/>
      <c r="F30" s="181"/>
      <c r="G30" s="181"/>
      <c r="H30" s="139"/>
      <c r="I30" s="181"/>
      <c r="J30" s="181"/>
      <c r="K30" s="181"/>
      <c r="L30" s="181"/>
      <c r="M30" s="181"/>
      <c r="N30" s="181"/>
      <c r="O30" s="181"/>
      <c r="P30" s="181"/>
      <c r="Q30" s="181"/>
      <c r="R30" s="182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39"/>
      <c r="EL30" s="139"/>
      <c r="EM30" s="139"/>
      <c r="EN30" s="139"/>
      <c r="EO30" s="139"/>
      <c r="EP30" s="139"/>
      <c r="EQ30" s="139"/>
      <c r="ER30" s="139"/>
      <c r="ES30" s="139"/>
      <c r="ET30" s="139"/>
      <c r="EU30" s="139"/>
      <c r="EV30" s="139"/>
      <c r="EW30" s="139"/>
      <c r="EX30" s="139"/>
      <c r="EY30" s="139"/>
      <c r="EZ30" s="139"/>
      <c r="FA30" s="139"/>
      <c r="FB30" s="139"/>
      <c r="FC30" s="139"/>
      <c r="FD30" s="139"/>
      <c r="FE30" s="139"/>
      <c r="FF30" s="139"/>
      <c r="FG30" s="139"/>
      <c r="FH30" s="139"/>
      <c r="FI30" s="139"/>
      <c r="FJ30" s="139"/>
      <c r="FK30" s="139"/>
      <c r="FL30" s="139"/>
      <c r="FM30" s="139"/>
      <c r="FN30" s="139"/>
      <c r="FO30" s="139"/>
      <c r="FP30" s="139"/>
      <c r="FQ30" s="139"/>
      <c r="FR30" s="139"/>
      <c r="FS30" s="139"/>
      <c r="FT30" s="139"/>
      <c r="FU30" s="139"/>
      <c r="FV30" s="139"/>
      <c r="FW30" s="139"/>
      <c r="FX30" s="139"/>
      <c r="FY30" s="139"/>
      <c r="FZ30" s="139"/>
      <c r="GA30" s="139"/>
      <c r="GB30" s="139"/>
      <c r="GC30" s="139"/>
      <c r="GD30" s="139"/>
      <c r="GE30" s="139"/>
      <c r="GF30" s="139"/>
      <c r="GG30" s="139"/>
      <c r="GH30" s="139"/>
      <c r="GI30" s="139"/>
      <c r="GJ30" s="139"/>
      <c r="GK30" s="139"/>
      <c r="GL30" s="139"/>
      <c r="GM30" s="139"/>
      <c r="GN30" s="139"/>
      <c r="GO30" s="139"/>
      <c r="GP30" s="139"/>
      <c r="GQ30" s="139"/>
      <c r="GR30" s="139"/>
      <c r="GS30" s="139"/>
      <c r="GT30" s="139"/>
      <c r="GU30" s="139"/>
      <c r="GV30" s="139"/>
      <c r="GW30" s="139"/>
      <c r="GX30" s="139"/>
      <c r="GY30" s="139"/>
      <c r="GZ30" s="139"/>
      <c r="HA30" s="139"/>
      <c r="HB30" s="139"/>
      <c r="HC30" s="139"/>
      <c r="HD30" s="139"/>
      <c r="HE30" s="139"/>
      <c r="HF30" s="139"/>
      <c r="HG30" s="139"/>
      <c r="HH30" s="139"/>
      <c r="HI30" s="139"/>
      <c r="HJ30" s="139"/>
      <c r="HK30" s="139"/>
      <c r="HL30" s="139"/>
      <c r="HM30" s="139"/>
      <c r="HN30" s="139"/>
      <c r="HO30" s="139"/>
      <c r="HP30" s="139"/>
      <c r="HQ30" s="139"/>
      <c r="HR30" s="139"/>
      <c r="HS30" s="139"/>
      <c r="HT30" s="139"/>
      <c r="HU30" s="139"/>
      <c r="HV30" s="139"/>
      <c r="HW30" s="139"/>
      <c r="HX30" s="139"/>
      <c r="HY30" s="139"/>
      <c r="HZ30" s="139"/>
      <c r="IA30" s="139"/>
      <c r="IB30" s="139"/>
      <c r="IC30" s="139"/>
      <c r="ID30" s="139"/>
      <c r="IE30" s="139"/>
      <c r="IF30" s="139"/>
      <c r="IG30" s="139"/>
      <c r="IH30" s="139"/>
      <c r="II30" s="139"/>
      <c r="IJ30" s="139"/>
      <c r="IK30" s="139"/>
      <c r="IL30" s="139"/>
      <c r="IM30" s="139"/>
      <c r="IN30" s="139"/>
      <c r="IO30" s="139"/>
      <c r="IP30" s="139"/>
      <c r="IQ30" s="139"/>
      <c r="IR30" s="139"/>
      <c r="IS30" s="139"/>
      <c r="IT30" s="139"/>
      <c r="IU30" s="139"/>
      <c r="IV30" s="139"/>
      <c r="IW30" s="139"/>
      <c r="IX30" s="139"/>
      <c r="IY30" s="139"/>
      <c r="IZ30" s="139"/>
      <c r="JA30" s="139"/>
      <c r="JB30" s="139"/>
      <c r="JC30" s="139"/>
      <c r="JD30" s="139"/>
      <c r="JE30" s="139"/>
      <c r="JF30" s="139"/>
      <c r="JG30" s="139"/>
      <c r="JH30" s="139"/>
      <c r="JI30" s="139"/>
      <c r="JJ30" s="139"/>
      <c r="JK30" s="139"/>
      <c r="JL30" s="139"/>
      <c r="JM30" s="139"/>
      <c r="JN30" s="139"/>
      <c r="JO30" s="139"/>
      <c r="JP30" s="139"/>
      <c r="JQ30" s="139"/>
      <c r="JR30" s="139"/>
      <c r="JS30" s="139"/>
      <c r="JT30" s="139"/>
      <c r="JU30" s="139"/>
      <c r="JV30" s="139"/>
      <c r="JW30" s="139"/>
      <c r="JX30" s="139"/>
      <c r="JY30" s="139"/>
      <c r="JZ30" s="139"/>
      <c r="KA30" s="139"/>
      <c r="KB30" s="139"/>
      <c r="KC30" s="139"/>
      <c r="KD30" s="139"/>
      <c r="KE30" s="139"/>
      <c r="KF30" s="139"/>
      <c r="KG30" s="139"/>
      <c r="KH30" s="139"/>
      <c r="KI30" s="139"/>
      <c r="KJ30" s="139"/>
      <c r="KK30" s="139"/>
      <c r="KL30" s="139"/>
      <c r="KM30" s="139"/>
      <c r="KN30" s="139"/>
      <c r="KO30" s="139"/>
      <c r="KP30" s="139"/>
      <c r="KQ30" s="139"/>
      <c r="KR30" s="139"/>
      <c r="KS30" s="139"/>
      <c r="KT30" s="139"/>
      <c r="KU30" s="139"/>
      <c r="KV30" s="139"/>
      <c r="KW30" s="139"/>
      <c r="KX30" s="139"/>
      <c r="KY30" s="139"/>
      <c r="KZ30" s="139"/>
      <c r="LA30" s="139"/>
      <c r="LB30" s="139"/>
      <c r="LC30" s="139"/>
      <c r="LD30" s="139"/>
      <c r="LE30" s="139"/>
      <c r="LF30" s="139"/>
      <c r="LG30" s="139"/>
      <c r="LH30" s="139"/>
      <c r="LI30" s="139"/>
      <c r="LJ30" s="139"/>
      <c r="LK30" s="139"/>
      <c r="LL30" s="139"/>
      <c r="LM30" s="139"/>
      <c r="LN30" s="139"/>
      <c r="LO30" s="139"/>
      <c r="LP30" s="139"/>
      <c r="LQ30" s="139"/>
      <c r="LR30" s="139"/>
      <c r="LS30" s="139"/>
      <c r="LT30" s="139"/>
      <c r="LU30" s="139"/>
      <c r="LV30" s="139"/>
      <c r="LW30" s="139"/>
      <c r="LX30" s="139"/>
      <c r="LY30" s="139"/>
      <c r="LZ30" s="139"/>
      <c r="MA30" s="139"/>
      <c r="MB30" s="139"/>
      <c r="MC30" s="139"/>
      <c r="MD30" s="139"/>
      <c r="ME30" s="139"/>
      <c r="MF30" s="139"/>
      <c r="MG30" s="139"/>
      <c r="MH30" s="139"/>
      <c r="MI30" s="139"/>
      <c r="MJ30" s="139"/>
      <c r="MK30" s="139"/>
      <c r="ML30" s="139"/>
      <c r="MM30" s="139"/>
      <c r="MN30" s="139"/>
      <c r="MO30" s="139"/>
      <c r="MP30" s="139"/>
      <c r="MQ30" s="139"/>
      <c r="MR30" s="139"/>
      <c r="MS30" s="139"/>
      <c r="MT30" s="139"/>
      <c r="MU30" s="139"/>
      <c r="MV30" s="139"/>
      <c r="MW30" s="139"/>
      <c r="MX30" s="139"/>
      <c r="MY30" s="139"/>
      <c r="MZ30" s="139"/>
      <c r="NA30" s="139"/>
      <c r="NB30" s="139"/>
      <c r="NC30" s="139"/>
      <c r="ND30" s="139"/>
      <c r="NE30" s="139"/>
      <c r="NF30" s="139"/>
      <c r="NG30" s="139"/>
      <c r="NH30" s="139"/>
      <c r="NI30" s="139"/>
      <c r="NJ30" s="139"/>
      <c r="NK30" s="139"/>
      <c r="NL30" s="139"/>
      <c r="NM30" s="139"/>
      <c r="NN30" s="139"/>
      <c r="NO30" s="139"/>
      <c r="NP30" s="139"/>
      <c r="NQ30" s="139"/>
      <c r="NR30" s="139"/>
      <c r="NS30" s="139"/>
      <c r="NT30" s="139"/>
      <c r="NU30" s="139"/>
      <c r="NV30" s="139"/>
      <c r="NW30" s="139"/>
      <c r="NX30" s="139"/>
      <c r="NY30" s="139"/>
      <c r="NZ30" s="139"/>
      <c r="OA30" s="139"/>
      <c r="OB30" s="139"/>
      <c r="OC30" s="139"/>
      <c r="OD30" s="139"/>
      <c r="OE30" s="139"/>
      <c r="OF30" s="139"/>
      <c r="OG30" s="139"/>
      <c r="OH30" s="139"/>
      <c r="OI30" s="139"/>
      <c r="OJ30" s="139"/>
      <c r="OK30" s="139"/>
      <c r="OL30" s="139"/>
      <c r="OM30" s="139"/>
      <c r="ON30" s="139"/>
      <c r="OO30" s="139"/>
      <c r="OP30" s="139"/>
      <c r="OQ30" s="139"/>
      <c r="OR30" s="139"/>
      <c r="OS30" s="139"/>
      <c r="OT30" s="139"/>
      <c r="OU30" s="139"/>
      <c r="OV30" s="139"/>
      <c r="OW30" s="139"/>
      <c r="OX30" s="139"/>
      <c r="OY30" s="139"/>
      <c r="OZ30" s="139"/>
      <c r="PA30" s="139"/>
      <c r="PB30" s="139"/>
      <c r="PC30" s="139"/>
      <c r="PD30" s="139"/>
      <c r="PE30" s="139"/>
      <c r="PF30" s="139"/>
      <c r="PG30" s="139"/>
      <c r="PH30" s="139"/>
      <c r="PI30" s="139"/>
      <c r="PJ30" s="139"/>
      <c r="PK30" s="139"/>
      <c r="PL30" s="139"/>
      <c r="PM30" s="139"/>
      <c r="PN30" s="139"/>
      <c r="PO30" s="139"/>
      <c r="PP30" s="139"/>
      <c r="PQ30" s="139"/>
      <c r="PR30" s="139"/>
      <c r="PS30" s="139"/>
      <c r="PT30" s="139"/>
      <c r="PU30" s="139"/>
      <c r="PV30" s="139"/>
      <c r="PW30" s="139"/>
      <c r="PX30" s="139"/>
      <c r="PY30" s="139"/>
      <c r="PZ30" s="139"/>
      <c r="QA30" s="139"/>
      <c r="QB30" s="139"/>
      <c r="QC30" s="139"/>
      <c r="QD30" s="139"/>
      <c r="QE30" s="139"/>
      <c r="QF30" s="139"/>
      <c r="QG30" s="139"/>
      <c r="QH30" s="139"/>
      <c r="QI30" s="139"/>
      <c r="QJ30" s="139"/>
      <c r="QK30" s="139"/>
      <c r="QL30" s="139"/>
      <c r="QM30" s="139"/>
      <c r="QN30" s="139"/>
      <c r="QO30" s="139"/>
      <c r="QP30" s="139"/>
      <c r="QQ30" s="139"/>
      <c r="QR30" s="139"/>
      <c r="QS30" s="139"/>
      <c r="QT30" s="139"/>
      <c r="QU30" s="139"/>
      <c r="QV30" s="139"/>
      <c r="QW30" s="139"/>
      <c r="QX30" s="139"/>
      <c r="QY30" s="139"/>
      <c r="QZ30" s="139"/>
      <c r="RA30" s="139"/>
      <c r="RB30" s="139"/>
      <c r="RC30" s="139"/>
      <c r="RD30" s="139"/>
      <c r="RE30" s="139"/>
      <c r="RF30" s="139"/>
      <c r="RG30" s="139"/>
      <c r="RH30" s="139"/>
      <c r="RI30" s="139"/>
      <c r="RJ30" s="139"/>
      <c r="RK30" s="139"/>
      <c r="RL30" s="139"/>
      <c r="RM30" s="139"/>
      <c r="RN30" s="139"/>
      <c r="RO30" s="139"/>
      <c r="RP30" s="139"/>
      <c r="RQ30" s="139"/>
      <c r="RR30" s="139"/>
      <c r="RS30" s="139"/>
      <c r="RT30" s="139"/>
      <c r="RU30" s="139"/>
      <c r="RV30" s="139"/>
      <c r="RW30" s="139"/>
      <c r="RX30" s="139"/>
      <c r="RY30" s="139"/>
      <c r="RZ30" s="139"/>
      <c r="SA30" s="139"/>
      <c r="SB30" s="139"/>
      <c r="SC30" s="139"/>
      <c r="SD30" s="139"/>
      <c r="SE30" s="139"/>
      <c r="SF30" s="139"/>
      <c r="SG30" s="139"/>
      <c r="SH30" s="139"/>
      <c r="SI30" s="139"/>
      <c r="SJ30" s="139"/>
      <c r="SK30" s="139"/>
      <c r="SL30" s="139"/>
      <c r="SM30" s="139"/>
      <c r="SN30" s="139"/>
      <c r="SO30" s="139"/>
      <c r="SP30" s="139"/>
      <c r="SQ30" s="139"/>
      <c r="SR30" s="139"/>
      <c r="SS30" s="139"/>
      <c r="ST30" s="139"/>
      <c r="SU30" s="139"/>
      <c r="SV30" s="139"/>
      <c r="SW30" s="139"/>
      <c r="SX30" s="139"/>
      <c r="SY30" s="139"/>
      <c r="SZ30" s="139"/>
      <c r="TA30" s="139"/>
      <c r="TB30" s="139"/>
      <c r="TC30" s="139"/>
      <c r="TD30" s="139"/>
      <c r="TE30" s="139"/>
      <c r="TF30" s="139"/>
      <c r="TG30" s="139"/>
      <c r="TH30" s="139"/>
      <c r="TI30" s="139"/>
      <c r="TJ30" s="139"/>
      <c r="TK30" s="139"/>
      <c r="TL30" s="139"/>
      <c r="TM30" s="139"/>
      <c r="TN30" s="139"/>
      <c r="TO30" s="139"/>
      <c r="TP30" s="139"/>
      <c r="TQ30" s="139"/>
      <c r="TR30" s="139"/>
      <c r="TS30" s="139"/>
      <c r="TT30" s="139"/>
      <c r="TU30" s="139"/>
      <c r="TV30" s="139"/>
      <c r="TW30" s="139"/>
      <c r="TX30" s="139"/>
      <c r="TY30" s="139"/>
      <c r="TZ30" s="139"/>
      <c r="UA30" s="139"/>
      <c r="UB30" s="139"/>
      <c r="UC30" s="139"/>
      <c r="UD30" s="139"/>
      <c r="UE30" s="139"/>
      <c r="UF30" s="139"/>
      <c r="UG30" s="139"/>
      <c r="UH30" s="139"/>
      <c r="UI30" s="139"/>
      <c r="UJ30" s="139"/>
      <c r="UK30" s="139"/>
      <c r="UL30" s="139"/>
      <c r="UM30" s="139"/>
      <c r="UN30" s="139"/>
      <c r="UO30" s="139"/>
      <c r="UP30" s="139"/>
      <c r="UQ30" s="139"/>
      <c r="UR30" s="139"/>
      <c r="US30" s="139"/>
      <c r="UT30" s="139"/>
      <c r="UU30" s="139"/>
      <c r="UV30" s="139"/>
      <c r="UW30" s="139"/>
      <c r="UX30" s="139"/>
      <c r="UY30" s="139"/>
      <c r="UZ30" s="139"/>
      <c r="VA30" s="139"/>
      <c r="VB30" s="139"/>
      <c r="VC30" s="139"/>
      <c r="VD30" s="139"/>
      <c r="VE30" s="139"/>
      <c r="VF30" s="139"/>
      <c r="VG30" s="139"/>
      <c r="VH30" s="139"/>
      <c r="VI30" s="139"/>
      <c r="VJ30" s="139"/>
      <c r="VK30" s="139"/>
      <c r="VL30" s="139"/>
      <c r="VM30" s="139"/>
      <c r="VN30" s="139"/>
      <c r="VO30" s="139"/>
      <c r="VP30" s="139"/>
      <c r="VQ30" s="139"/>
      <c r="VR30" s="139"/>
      <c r="VS30" s="139"/>
      <c r="VT30" s="139"/>
      <c r="VU30" s="139"/>
      <c r="VV30" s="139"/>
      <c r="VW30" s="139"/>
      <c r="VX30" s="139"/>
      <c r="VY30" s="139"/>
      <c r="VZ30" s="139"/>
      <c r="WA30" s="139"/>
      <c r="WB30" s="139"/>
      <c r="WC30" s="139"/>
      <c r="WD30" s="139"/>
      <c r="WE30" s="139"/>
      <c r="WF30" s="139"/>
      <c r="WG30" s="139"/>
      <c r="WH30" s="139"/>
      <c r="WI30" s="139"/>
      <c r="WJ30" s="139"/>
      <c r="WK30" s="139"/>
      <c r="WL30" s="139"/>
      <c r="WM30" s="139"/>
      <c r="WN30" s="139"/>
      <c r="WO30" s="139"/>
      <c r="WP30" s="139"/>
      <c r="WQ30" s="139"/>
      <c r="WR30" s="139"/>
      <c r="WS30" s="139"/>
      <c r="WT30" s="139"/>
      <c r="WU30" s="139"/>
      <c r="WV30" s="139"/>
      <c r="WW30" s="139"/>
      <c r="WX30" s="139"/>
      <c r="WY30" s="139"/>
      <c r="WZ30" s="139"/>
      <c r="XA30" s="139"/>
      <c r="XB30" s="139"/>
      <c r="XC30" s="139"/>
      <c r="XD30" s="139"/>
      <c r="XE30" s="139"/>
      <c r="XF30" s="139"/>
      <c r="XG30" s="139"/>
      <c r="XH30" s="139"/>
      <c r="XI30" s="139"/>
      <c r="XJ30" s="139"/>
      <c r="XK30" s="139"/>
      <c r="XL30" s="139"/>
      <c r="XM30" s="139"/>
      <c r="XN30" s="139"/>
      <c r="XO30" s="139"/>
      <c r="XP30" s="139"/>
      <c r="XQ30" s="139"/>
      <c r="XR30" s="139"/>
      <c r="XS30" s="139"/>
      <c r="XT30" s="139"/>
      <c r="XU30" s="139"/>
      <c r="XV30" s="139"/>
      <c r="XW30" s="139"/>
      <c r="XX30" s="139"/>
      <c r="XY30" s="139"/>
      <c r="XZ30" s="139"/>
      <c r="YA30" s="139"/>
      <c r="YB30" s="139"/>
      <c r="YC30" s="139"/>
      <c r="YD30" s="139"/>
      <c r="YE30" s="139"/>
      <c r="YF30" s="139"/>
      <c r="YG30" s="139"/>
      <c r="YH30" s="139"/>
      <c r="YI30" s="139"/>
      <c r="YJ30" s="139"/>
      <c r="YK30" s="139"/>
      <c r="YL30" s="139"/>
      <c r="YM30" s="139"/>
      <c r="YN30" s="139"/>
      <c r="YO30" s="139"/>
      <c r="YP30" s="139"/>
      <c r="YQ30" s="139"/>
      <c r="YR30" s="139"/>
      <c r="YS30" s="139"/>
      <c r="YT30" s="139"/>
      <c r="YU30" s="139"/>
      <c r="YV30" s="139"/>
      <c r="YW30" s="139"/>
      <c r="YX30" s="139"/>
      <c r="YY30" s="139"/>
      <c r="YZ30" s="139"/>
      <c r="ZA30" s="139"/>
      <c r="ZB30" s="139"/>
      <c r="ZC30" s="139"/>
      <c r="ZD30" s="139"/>
      <c r="ZE30" s="139"/>
      <c r="ZF30" s="139"/>
      <c r="ZG30" s="139"/>
      <c r="ZH30" s="139"/>
      <c r="ZI30" s="139"/>
      <c r="ZJ30" s="139"/>
      <c r="ZK30" s="139"/>
      <c r="ZL30" s="139"/>
      <c r="ZM30" s="139"/>
      <c r="ZN30" s="139"/>
      <c r="ZO30" s="139"/>
      <c r="ZP30" s="139"/>
      <c r="ZQ30" s="139"/>
      <c r="ZR30" s="139"/>
      <c r="ZS30" s="139"/>
      <c r="ZT30" s="139"/>
      <c r="ZU30" s="139"/>
      <c r="ZV30" s="139"/>
      <c r="ZW30" s="139"/>
      <c r="ZX30" s="139"/>
      <c r="ZY30" s="139"/>
      <c r="ZZ30" s="139"/>
      <c r="AAA30" s="139"/>
      <c r="AAB30" s="139"/>
      <c r="AAC30" s="139"/>
      <c r="AAD30" s="139"/>
      <c r="AAE30" s="139"/>
      <c r="AAF30" s="139"/>
      <c r="AAG30" s="139"/>
      <c r="AAH30" s="139"/>
      <c r="AAI30" s="139"/>
      <c r="AAJ30" s="139"/>
      <c r="AAK30" s="139"/>
      <c r="AAL30" s="139"/>
      <c r="AAM30" s="139"/>
      <c r="AAN30" s="139"/>
      <c r="AAO30" s="139"/>
      <c r="AAP30" s="139"/>
      <c r="AAQ30" s="139"/>
      <c r="AAR30" s="139"/>
      <c r="AAS30" s="139"/>
      <c r="AAT30" s="139"/>
      <c r="AAU30" s="139"/>
      <c r="AAV30" s="139"/>
      <c r="AAW30" s="139"/>
      <c r="AAX30" s="139"/>
      <c r="AAY30" s="139"/>
      <c r="AAZ30" s="139"/>
      <c r="ABA30" s="139"/>
      <c r="ABB30" s="139"/>
      <c r="ABC30" s="139"/>
      <c r="ABD30" s="139"/>
      <c r="ABE30" s="139"/>
      <c r="ABF30" s="139"/>
      <c r="ABG30" s="139"/>
      <c r="ABH30" s="139"/>
      <c r="ABI30" s="139"/>
      <c r="ABJ30" s="139"/>
      <c r="ABK30" s="139"/>
      <c r="ABL30" s="139"/>
      <c r="ABM30" s="139"/>
      <c r="ABN30" s="139"/>
      <c r="ABO30" s="139"/>
      <c r="ABP30" s="139"/>
      <c r="ABQ30" s="139"/>
      <c r="ABR30" s="139"/>
      <c r="ABS30" s="139"/>
      <c r="ABT30" s="139"/>
      <c r="ABU30" s="139"/>
      <c r="ABV30" s="139"/>
      <c r="ABW30" s="139"/>
      <c r="ABX30" s="139"/>
      <c r="ABY30" s="139"/>
      <c r="ABZ30" s="139"/>
      <c r="ACA30" s="139"/>
      <c r="ACB30" s="139"/>
      <c r="ACC30" s="139"/>
      <c r="ACD30" s="139"/>
      <c r="ACE30" s="139"/>
      <c r="ACF30" s="139"/>
      <c r="ACG30" s="139"/>
      <c r="ACH30" s="139"/>
      <c r="ACI30" s="139"/>
      <c r="ACJ30" s="139"/>
      <c r="ACK30" s="139"/>
      <c r="ACL30" s="139"/>
      <c r="ACM30" s="139"/>
      <c r="ACN30" s="139"/>
      <c r="ACO30" s="139"/>
      <c r="ACP30" s="139"/>
      <c r="ACQ30" s="139"/>
      <c r="ACR30" s="139"/>
      <c r="ACS30" s="139"/>
      <c r="ACT30" s="139"/>
      <c r="ACU30" s="139"/>
      <c r="ACV30" s="139"/>
      <c r="ACW30" s="139"/>
      <c r="ACX30" s="139"/>
      <c r="ACY30" s="139"/>
      <c r="ACZ30" s="139"/>
      <c r="ADA30" s="139"/>
      <c r="ADB30" s="139"/>
      <c r="ADC30" s="139"/>
      <c r="ADD30" s="139"/>
      <c r="ADE30" s="139"/>
      <c r="ADF30" s="139"/>
      <c r="ADG30" s="139"/>
      <c r="ADH30" s="139"/>
      <c r="ADI30" s="139"/>
      <c r="ADJ30" s="139"/>
      <c r="ADK30" s="139"/>
      <c r="ADL30" s="139"/>
      <c r="ADM30" s="139"/>
      <c r="ADN30" s="139"/>
      <c r="ADO30" s="139"/>
      <c r="ADP30" s="139"/>
      <c r="ADQ30" s="139"/>
      <c r="ADR30" s="139"/>
      <c r="ADS30" s="139"/>
      <c r="ADT30" s="139"/>
      <c r="ADU30" s="139"/>
      <c r="ADV30" s="139"/>
      <c r="ADW30" s="139"/>
      <c r="ADX30" s="139"/>
      <c r="ADY30" s="139"/>
      <c r="ADZ30" s="139"/>
      <c r="AEA30" s="139"/>
      <c r="AEB30" s="139"/>
      <c r="AEC30" s="139"/>
      <c r="AED30" s="139"/>
      <c r="AEE30" s="139"/>
      <c r="AEF30" s="139"/>
      <c r="AEG30" s="139"/>
      <c r="AEH30" s="139"/>
      <c r="AEI30" s="139"/>
      <c r="AEJ30" s="139"/>
      <c r="AEK30" s="139"/>
      <c r="AEL30" s="139"/>
      <c r="AEM30" s="139"/>
      <c r="AEN30" s="139"/>
      <c r="AEO30" s="139"/>
      <c r="AEP30" s="139"/>
      <c r="AEQ30" s="139"/>
      <c r="AER30" s="139"/>
      <c r="AES30" s="139"/>
      <c r="AET30" s="139"/>
      <c r="AEU30" s="139"/>
      <c r="AEV30" s="139"/>
      <c r="AEW30" s="139"/>
      <c r="AEX30" s="139"/>
      <c r="AEY30" s="139"/>
      <c r="AEZ30" s="139"/>
      <c r="AFA30" s="139"/>
      <c r="AFB30" s="139"/>
      <c r="AFC30" s="139"/>
      <c r="AFD30" s="139"/>
      <c r="AFE30" s="139"/>
      <c r="AFF30" s="139"/>
      <c r="AFG30" s="139"/>
      <c r="AFH30" s="139"/>
      <c r="AFI30" s="139"/>
      <c r="AFJ30" s="139"/>
      <c r="AFK30" s="139"/>
      <c r="AFL30" s="139"/>
      <c r="AFM30" s="139"/>
      <c r="AFN30" s="139"/>
      <c r="AFO30" s="139"/>
      <c r="AFP30" s="139"/>
      <c r="AFQ30" s="139"/>
      <c r="AFR30" s="139"/>
      <c r="AFS30" s="139"/>
      <c r="AFT30" s="139"/>
      <c r="AFU30" s="139"/>
      <c r="AFV30" s="139"/>
      <c r="AFW30" s="139"/>
      <c r="AFX30" s="139"/>
      <c r="AFY30" s="139"/>
      <c r="AFZ30" s="139"/>
      <c r="AGA30" s="139"/>
      <c r="AGB30" s="139"/>
      <c r="AGC30" s="139"/>
      <c r="AGD30" s="139"/>
      <c r="AGE30" s="139"/>
      <c r="AGF30" s="139"/>
      <c r="AGG30" s="139"/>
      <c r="AGH30" s="139"/>
      <c r="AGI30" s="139"/>
      <c r="AGJ30" s="139"/>
      <c r="AGK30" s="139"/>
      <c r="AGL30" s="139"/>
      <c r="AGM30" s="139"/>
      <c r="AGN30" s="139"/>
      <c r="AGO30" s="139"/>
      <c r="AGP30" s="139"/>
      <c r="AGQ30" s="139"/>
      <c r="AGR30" s="139"/>
      <c r="AGS30" s="139"/>
      <c r="AGT30" s="139"/>
      <c r="AGU30" s="139"/>
      <c r="AGV30" s="139"/>
      <c r="AGW30" s="139"/>
      <c r="AGX30" s="139"/>
      <c r="AGY30" s="139"/>
      <c r="AGZ30" s="139"/>
      <c r="AHA30" s="139"/>
      <c r="AHB30" s="139"/>
      <c r="AHC30" s="139"/>
      <c r="AHD30" s="139"/>
      <c r="AHE30" s="139"/>
      <c r="AHF30" s="139"/>
      <c r="AHG30" s="139"/>
      <c r="AHH30" s="139"/>
      <c r="AHI30" s="139"/>
      <c r="AHJ30" s="139"/>
      <c r="AHK30" s="139"/>
      <c r="AHL30" s="139"/>
      <c r="AHM30" s="139"/>
      <c r="AHN30" s="139"/>
      <c r="AHO30" s="139"/>
      <c r="AHP30" s="139"/>
      <c r="AHQ30" s="139"/>
      <c r="AHR30" s="139"/>
      <c r="AHS30" s="139"/>
      <c r="AHT30" s="139"/>
      <c r="AHU30" s="139"/>
      <c r="AHV30" s="139"/>
      <c r="AHW30" s="139"/>
      <c r="AHX30" s="139"/>
      <c r="AHY30" s="139"/>
      <c r="AHZ30" s="139"/>
      <c r="AIA30" s="139"/>
      <c r="AIB30" s="139"/>
      <c r="AIC30" s="139"/>
      <c r="AID30" s="139"/>
      <c r="AIE30" s="139"/>
      <c r="AIF30" s="139"/>
      <c r="AIG30" s="139"/>
      <c r="AIH30" s="139"/>
      <c r="AII30" s="139"/>
      <c r="AIJ30" s="139"/>
      <c r="AIK30" s="139"/>
      <c r="AIL30" s="139"/>
      <c r="AIM30" s="139"/>
      <c r="AIN30" s="139"/>
      <c r="AIO30" s="139"/>
      <c r="AIP30" s="139"/>
      <c r="AIQ30" s="139"/>
      <c r="AIR30" s="139"/>
      <c r="AIS30" s="139"/>
      <c r="AIT30" s="139"/>
      <c r="AIU30" s="139"/>
      <c r="AIV30" s="139"/>
      <c r="AIW30" s="139"/>
      <c r="AIX30" s="139"/>
      <c r="AIY30" s="139"/>
      <c r="AIZ30" s="139"/>
      <c r="AJA30" s="139"/>
      <c r="AJB30" s="139"/>
      <c r="AJC30" s="139"/>
      <c r="AJD30" s="139"/>
      <c r="AJE30" s="139"/>
      <c r="AJF30" s="139"/>
      <c r="AJG30" s="139"/>
      <c r="AJH30" s="139"/>
      <c r="AJI30" s="139"/>
      <c r="AJJ30" s="139"/>
      <c r="AJK30" s="139"/>
      <c r="AJL30" s="139"/>
      <c r="AJM30" s="139"/>
      <c r="AJN30" s="139"/>
      <c r="AJO30" s="139"/>
      <c r="AJP30" s="139"/>
      <c r="AJQ30" s="139"/>
      <c r="AJR30" s="139"/>
      <c r="AJS30" s="139"/>
      <c r="AJT30" s="139"/>
      <c r="AJU30" s="139"/>
      <c r="AJV30" s="139"/>
      <c r="AJW30" s="139"/>
      <c r="AJX30" s="139"/>
      <c r="AJY30" s="139"/>
      <c r="AJZ30" s="139"/>
      <c r="AKA30" s="139"/>
      <c r="AKB30" s="139"/>
      <c r="AKC30" s="139"/>
      <c r="AKD30" s="139"/>
      <c r="AKE30" s="139"/>
      <c r="AKF30" s="139"/>
      <c r="AKG30" s="139"/>
      <c r="AKH30" s="139"/>
      <c r="AKI30" s="139"/>
      <c r="AKJ30" s="139"/>
      <c r="AKK30" s="139"/>
      <c r="AKL30" s="139"/>
      <c r="AKM30" s="139"/>
      <c r="AKN30" s="139"/>
      <c r="AKO30" s="139"/>
      <c r="AKP30" s="139"/>
      <c r="AKQ30" s="139"/>
      <c r="AKR30" s="139"/>
      <c r="AKS30" s="139"/>
      <c r="AKT30" s="139"/>
      <c r="AKU30" s="139"/>
      <c r="AKV30" s="139"/>
      <c r="AKW30" s="139"/>
      <c r="AKX30" s="139"/>
      <c r="AKY30" s="139"/>
      <c r="AKZ30" s="139"/>
      <c r="ALA30" s="139"/>
      <c r="ALB30" s="139"/>
      <c r="ALC30" s="139"/>
      <c r="ALD30" s="139"/>
      <c r="ALE30" s="139"/>
      <c r="ALF30" s="139"/>
      <c r="ALG30" s="139"/>
      <c r="ALH30" s="139"/>
      <c r="ALI30" s="139"/>
      <c r="ALJ30" s="139"/>
      <c r="ALK30" s="139"/>
      <c r="ALL30" s="139"/>
      <c r="ALM30" s="139"/>
      <c r="ALN30" s="139"/>
      <c r="ALO30" s="139"/>
      <c r="ALP30" s="139"/>
      <c r="ALQ30" s="139"/>
      <c r="ALR30" s="139"/>
      <c r="ALS30" s="139"/>
      <c r="ALT30" s="139"/>
      <c r="ALU30" s="139"/>
      <c r="ALV30" s="139"/>
      <c r="ALW30" s="139"/>
      <c r="ALX30" s="139"/>
      <c r="ALY30" s="139"/>
      <c r="ALZ30" s="139"/>
      <c r="AMA30" s="139"/>
      <c r="AMB30" s="139"/>
      <c r="AMC30" s="139"/>
      <c r="AMD30" s="139"/>
      <c r="AME30" s="139"/>
      <c r="AMF30" s="139"/>
      <c r="AMG30" s="139"/>
      <c r="AMH30" s="139"/>
      <c r="AMI30" s="139"/>
      <c r="AMJ30" s="139"/>
    </row>
    <row r="31" spans="1:1024" s="140" customFormat="1" x14ac:dyDescent="0.25">
      <c r="A31" s="208" t="s">
        <v>25</v>
      </c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39"/>
      <c r="EL31" s="139"/>
      <c r="EM31" s="139"/>
      <c r="EN31" s="139"/>
      <c r="EO31" s="139"/>
      <c r="EP31" s="139"/>
      <c r="EQ31" s="139"/>
      <c r="ER31" s="139"/>
      <c r="ES31" s="139"/>
      <c r="ET31" s="139"/>
      <c r="EU31" s="139"/>
      <c r="EV31" s="139"/>
      <c r="EW31" s="139"/>
      <c r="EX31" s="139"/>
      <c r="EY31" s="139"/>
      <c r="EZ31" s="139"/>
      <c r="FA31" s="139"/>
      <c r="FB31" s="139"/>
      <c r="FC31" s="139"/>
      <c r="FD31" s="139"/>
      <c r="FE31" s="139"/>
      <c r="FF31" s="139"/>
      <c r="FG31" s="139"/>
      <c r="FH31" s="139"/>
      <c r="FI31" s="139"/>
      <c r="FJ31" s="139"/>
      <c r="FK31" s="139"/>
      <c r="FL31" s="139"/>
      <c r="FM31" s="139"/>
      <c r="FN31" s="139"/>
      <c r="FO31" s="139"/>
      <c r="FP31" s="139"/>
      <c r="FQ31" s="139"/>
      <c r="FR31" s="139"/>
      <c r="FS31" s="139"/>
      <c r="FT31" s="139"/>
      <c r="FU31" s="139"/>
      <c r="FV31" s="139"/>
      <c r="FW31" s="139"/>
      <c r="FX31" s="139"/>
      <c r="FY31" s="139"/>
      <c r="FZ31" s="139"/>
      <c r="GA31" s="139"/>
      <c r="GB31" s="139"/>
      <c r="GC31" s="139"/>
      <c r="GD31" s="139"/>
      <c r="GE31" s="139"/>
      <c r="GF31" s="139"/>
      <c r="GG31" s="139"/>
      <c r="GH31" s="139"/>
      <c r="GI31" s="139"/>
      <c r="GJ31" s="139"/>
      <c r="GK31" s="139"/>
      <c r="GL31" s="139"/>
      <c r="GM31" s="139"/>
      <c r="GN31" s="139"/>
      <c r="GO31" s="139"/>
      <c r="GP31" s="139"/>
      <c r="GQ31" s="139"/>
      <c r="GR31" s="139"/>
      <c r="GS31" s="139"/>
      <c r="GT31" s="139"/>
      <c r="GU31" s="139"/>
      <c r="GV31" s="139"/>
      <c r="GW31" s="139"/>
      <c r="GX31" s="139"/>
      <c r="GY31" s="139"/>
      <c r="GZ31" s="139"/>
      <c r="HA31" s="139"/>
      <c r="HB31" s="139"/>
      <c r="HC31" s="139"/>
      <c r="HD31" s="139"/>
      <c r="HE31" s="139"/>
      <c r="HF31" s="139"/>
      <c r="HG31" s="139"/>
      <c r="HH31" s="139"/>
      <c r="HI31" s="139"/>
      <c r="HJ31" s="139"/>
      <c r="HK31" s="139"/>
      <c r="HL31" s="139"/>
      <c r="HM31" s="139"/>
      <c r="HN31" s="139"/>
      <c r="HO31" s="139"/>
      <c r="HP31" s="139"/>
      <c r="HQ31" s="139"/>
      <c r="HR31" s="139"/>
      <c r="HS31" s="139"/>
      <c r="HT31" s="139"/>
      <c r="HU31" s="139"/>
      <c r="HV31" s="139"/>
      <c r="HW31" s="139"/>
      <c r="HX31" s="139"/>
      <c r="HY31" s="139"/>
      <c r="HZ31" s="139"/>
      <c r="IA31" s="139"/>
      <c r="IB31" s="139"/>
      <c r="IC31" s="139"/>
      <c r="ID31" s="139"/>
      <c r="IE31" s="139"/>
      <c r="IF31" s="139"/>
      <c r="IG31" s="139"/>
      <c r="IH31" s="139"/>
      <c r="II31" s="139"/>
      <c r="IJ31" s="139"/>
      <c r="IK31" s="139"/>
      <c r="IL31" s="139"/>
      <c r="IM31" s="139"/>
      <c r="IN31" s="139"/>
      <c r="IO31" s="139"/>
      <c r="IP31" s="139"/>
      <c r="IQ31" s="139"/>
      <c r="IR31" s="139"/>
      <c r="IS31" s="139"/>
      <c r="IT31" s="139"/>
      <c r="IU31" s="139"/>
      <c r="IV31" s="139"/>
      <c r="IW31" s="139"/>
      <c r="IX31" s="139"/>
      <c r="IY31" s="139"/>
      <c r="IZ31" s="139"/>
      <c r="JA31" s="139"/>
      <c r="JB31" s="139"/>
      <c r="JC31" s="139"/>
      <c r="JD31" s="139"/>
      <c r="JE31" s="139"/>
      <c r="JF31" s="139"/>
      <c r="JG31" s="139"/>
      <c r="JH31" s="139"/>
      <c r="JI31" s="139"/>
      <c r="JJ31" s="139"/>
      <c r="JK31" s="139"/>
      <c r="JL31" s="139"/>
      <c r="JM31" s="139"/>
      <c r="JN31" s="139"/>
      <c r="JO31" s="139"/>
      <c r="JP31" s="139"/>
      <c r="JQ31" s="139"/>
      <c r="JR31" s="139"/>
      <c r="JS31" s="139"/>
      <c r="JT31" s="139"/>
      <c r="JU31" s="139"/>
      <c r="JV31" s="139"/>
      <c r="JW31" s="139"/>
      <c r="JX31" s="139"/>
      <c r="JY31" s="139"/>
      <c r="JZ31" s="139"/>
      <c r="KA31" s="139"/>
      <c r="KB31" s="139"/>
      <c r="KC31" s="139"/>
      <c r="KD31" s="139"/>
      <c r="KE31" s="139"/>
      <c r="KF31" s="139"/>
      <c r="KG31" s="139"/>
      <c r="KH31" s="139"/>
      <c r="KI31" s="139"/>
      <c r="KJ31" s="139"/>
      <c r="KK31" s="139"/>
      <c r="KL31" s="139"/>
      <c r="KM31" s="139"/>
      <c r="KN31" s="139"/>
      <c r="KO31" s="139"/>
      <c r="KP31" s="139"/>
      <c r="KQ31" s="139"/>
      <c r="KR31" s="139"/>
      <c r="KS31" s="139"/>
      <c r="KT31" s="139"/>
      <c r="KU31" s="139"/>
      <c r="KV31" s="139"/>
      <c r="KW31" s="139"/>
      <c r="KX31" s="139"/>
      <c r="KY31" s="139"/>
      <c r="KZ31" s="139"/>
      <c r="LA31" s="139"/>
      <c r="LB31" s="139"/>
      <c r="LC31" s="139"/>
      <c r="LD31" s="139"/>
      <c r="LE31" s="139"/>
      <c r="LF31" s="139"/>
      <c r="LG31" s="139"/>
      <c r="LH31" s="139"/>
      <c r="LI31" s="139"/>
      <c r="LJ31" s="139"/>
      <c r="LK31" s="139"/>
      <c r="LL31" s="139"/>
      <c r="LM31" s="139"/>
      <c r="LN31" s="139"/>
      <c r="LO31" s="139"/>
      <c r="LP31" s="139"/>
      <c r="LQ31" s="139"/>
      <c r="LR31" s="139"/>
      <c r="LS31" s="139"/>
      <c r="LT31" s="139"/>
      <c r="LU31" s="139"/>
      <c r="LV31" s="139"/>
      <c r="LW31" s="139"/>
      <c r="LX31" s="139"/>
      <c r="LY31" s="139"/>
      <c r="LZ31" s="139"/>
      <c r="MA31" s="139"/>
      <c r="MB31" s="139"/>
      <c r="MC31" s="139"/>
      <c r="MD31" s="139"/>
      <c r="ME31" s="139"/>
      <c r="MF31" s="139"/>
      <c r="MG31" s="139"/>
      <c r="MH31" s="139"/>
      <c r="MI31" s="139"/>
      <c r="MJ31" s="139"/>
      <c r="MK31" s="139"/>
      <c r="ML31" s="139"/>
      <c r="MM31" s="139"/>
      <c r="MN31" s="139"/>
      <c r="MO31" s="139"/>
      <c r="MP31" s="139"/>
      <c r="MQ31" s="139"/>
      <c r="MR31" s="139"/>
      <c r="MS31" s="139"/>
      <c r="MT31" s="139"/>
      <c r="MU31" s="139"/>
      <c r="MV31" s="139"/>
      <c r="MW31" s="139"/>
      <c r="MX31" s="139"/>
      <c r="MY31" s="139"/>
      <c r="MZ31" s="139"/>
      <c r="NA31" s="139"/>
      <c r="NB31" s="139"/>
      <c r="NC31" s="139"/>
      <c r="ND31" s="139"/>
      <c r="NE31" s="139"/>
      <c r="NF31" s="139"/>
      <c r="NG31" s="139"/>
      <c r="NH31" s="139"/>
      <c r="NI31" s="139"/>
      <c r="NJ31" s="139"/>
      <c r="NK31" s="139"/>
      <c r="NL31" s="139"/>
      <c r="NM31" s="139"/>
      <c r="NN31" s="139"/>
      <c r="NO31" s="139"/>
      <c r="NP31" s="139"/>
      <c r="NQ31" s="139"/>
      <c r="NR31" s="139"/>
      <c r="NS31" s="139"/>
      <c r="NT31" s="139"/>
      <c r="NU31" s="139"/>
      <c r="NV31" s="139"/>
      <c r="NW31" s="139"/>
      <c r="NX31" s="139"/>
      <c r="NY31" s="139"/>
      <c r="NZ31" s="139"/>
      <c r="OA31" s="139"/>
      <c r="OB31" s="139"/>
      <c r="OC31" s="139"/>
      <c r="OD31" s="139"/>
      <c r="OE31" s="139"/>
      <c r="OF31" s="139"/>
      <c r="OG31" s="139"/>
      <c r="OH31" s="139"/>
      <c r="OI31" s="139"/>
      <c r="OJ31" s="139"/>
      <c r="OK31" s="139"/>
      <c r="OL31" s="139"/>
      <c r="OM31" s="139"/>
      <c r="ON31" s="139"/>
      <c r="OO31" s="139"/>
      <c r="OP31" s="139"/>
      <c r="OQ31" s="139"/>
      <c r="OR31" s="139"/>
      <c r="OS31" s="139"/>
      <c r="OT31" s="139"/>
      <c r="OU31" s="139"/>
      <c r="OV31" s="139"/>
      <c r="OW31" s="139"/>
      <c r="OX31" s="139"/>
      <c r="OY31" s="139"/>
      <c r="OZ31" s="139"/>
      <c r="PA31" s="139"/>
      <c r="PB31" s="139"/>
      <c r="PC31" s="139"/>
      <c r="PD31" s="139"/>
      <c r="PE31" s="139"/>
      <c r="PF31" s="139"/>
      <c r="PG31" s="139"/>
      <c r="PH31" s="139"/>
      <c r="PI31" s="139"/>
      <c r="PJ31" s="139"/>
      <c r="PK31" s="139"/>
      <c r="PL31" s="139"/>
      <c r="PM31" s="139"/>
      <c r="PN31" s="139"/>
      <c r="PO31" s="139"/>
      <c r="PP31" s="139"/>
      <c r="PQ31" s="139"/>
      <c r="PR31" s="139"/>
      <c r="PS31" s="139"/>
      <c r="PT31" s="139"/>
      <c r="PU31" s="139"/>
      <c r="PV31" s="139"/>
      <c r="PW31" s="139"/>
      <c r="PX31" s="139"/>
      <c r="PY31" s="139"/>
      <c r="PZ31" s="139"/>
      <c r="QA31" s="139"/>
      <c r="QB31" s="139"/>
      <c r="QC31" s="139"/>
      <c r="QD31" s="139"/>
      <c r="QE31" s="139"/>
      <c r="QF31" s="139"/>
      <c r="QG31" s="139"/>
      <c r="QH31" s="139"/>
      <c r="QI31" s="139"/>
      <c r="QJ31" s="139"/>
      <c r="QK31" s="139"/>
      <c r="QL31" s="139"/>
      <c r="QM31" s="139"/>
      <c r="QN31" s="139"/>
      <c r="QO31" s="139"/>
      <c r="QP31" s="139"/>
      <c r="QQ31" s="139"/>
      <c r="QR31" s="139"/>
      <c r="QS31" s="139"/>
      <c r="QT31" s="139"/>
      <c r="QU31" s="139"/>
      <c r="QV31" s="139"/>
      <c r="QW31" s="139"/>
      <c r="QX31" s="139"/>
      <c r="QY31" s="139"/>
      <c r="QZ31" s="139"/>
      <c r="RA31" s="139"/>
      <c r="RB31" s="139"/>
      <c r="RC31" s="139"/>
      <c r="RD31" s="139"/>
      <c r="RE31" s="139"/>
      <c r="RF31" s="139"/>
      <c r="RG31" s="139"/>
      <c r="RH31" s="139"/>
      <c r="RI31" s="139"/>
      <c r="RJ31" s="139"/>
      <c r="RK31" s="139"/>
      <c r="RL31" s="139"/>
      <c r="RM31" s="139"/>
      <c r="RN31" s="139"/>
      <c r="RO31" s="139"/>
      <c r="RP31" s="139"/>
      <c r="RQ31" s="139"/>
      <c r="RR31" s="139"/>
      <c r="RS31" s="139"/>
      <c r="RT31" s="139"/>
      <c r="RU31" s="139"/>
      <c r="RV31" s="139"/>
      <c r="RW31" s="139"/>
      <c r="RX31" s="139"/>
      <c r="RY31" s="139"/>
      <c r="RZ31" s="139"/>
      <c r="SA31" s="139"/>
      <c r="SB31" s="139"/>
      <c r="SC31" s="139"/>
      <c r="SD31" s="139"/>
      <c r="SE31" s="139"/>
      <c r="SF31" s="139"/>
      <c r="SG31" s="139"/>
      <c r="SH31" s="139"/>
      <c r="SI31" s="139"/>
      <c r="SJ31" s="139"/>
      <c r="SK31" s="139"/>
      <c r="SL31" s="139"/>
      <c r="SM31" s="139"/>
      <c r="SN31" s="139"/>
      <c r="SO31" s="139"/>
      <c r="SP31" s="139"/>
      <c r="SQ31" s="139"/>
      <c r="SR31" s="139"/>
      <c r="SS31" s="139"/>
      <c r="ST31" s="139"/>
      <c r="SU31" s="139"/>
      <c r="SV31" s="139"/>
      <c r="SW31" s="139"/>
      <c r="SX31" s="139"/>
      <c r="SY31" s="139"/>
      <c r="SZ31" s="139"/>
      <c r="TA31" s="139"/>
      <c r="TB31" s="139"/>
      <c r="TC31" s="139"/>
      <c r="TD31" s="139"/>
      <c r="TE31" s="139"/>
      <c r="TF31" s="139"/>
      <c r="TG31" s="139"/>
      <c r="TH31" s="139"/>
      <c r="TI31" s="139"/>
      <c r="TJ31" s="139"/>
      <c r="TK31" s="139"/>
      <c r="TL31" s="139"/>
      <c r="TM31" s="139"/>
      <c r="TN31" s="139"/>
      <c r="TO31" s="139"/>
      <c r="TP31" s="139"/>
      <c r="TQ31" s="139"/>
      <c r="TR31" s="139"/>
      <c r="TS31" s="139"/>
      <c r="TT31" s="139"/>
      <c r="TU31" s="139"/>
      <c r="TV31" s="139"/>
      <c r="TW31" s="139"/>
      <c r="TX31" s="139"/>
      <c r="TY31" s="139"/>
      <c r="TZ31" s="139"/>
      <c r="UA31" s="139"/>
      <c r="UB31" s="139"/>
      <c r="UC31" s="139"/>
      <c r="UD31" s="139"/>
      <c r="UE31" s="139"/>
      <c r="UF31" s="139"/>
      <c r="UG31" s="139"/>
      <c r="UH31" s="139"/>
      <c r="UI31" s="139"/>
      <c r="UJ31" s="139"/>
      <c r="UK31" s="139"/>
      <c r="UL31" s="139"/>
      <c r="UM31" s="139"/>
      <c r="UN31" s="139"/>
      <c r="UO31" s="139"/>
      <c r="UP31" s="139"/>
      <c r="UQ31" s="139"/>
      <c r="UR31" s="139"/>
      <c r="US31" s="139"/>
      <c r="UT31" s="139"/>
      <c r="UU31" s="139"/>
      <c r="UV31" s="139"/>
      <c r="UW31" s="139"/>
      <c r="UX31" s="139"/>
      <c r="UY31" s="139"/>
      <c r="UZ31" s="139"/>
      <c r="VA31" s="139"/>
      <c r="VB31" s="139"/>
      <c r="VC31" s="139"/>
      <c r="VD31" s="139"/>
      <c r="VE31" s="139"/>
      <c r="VF31" s="139"/>
      <c r="VG31" s="139"/>
      <c r="VH31" s="139"/>
      <c r="VI31" s="139"/>
      <c r="VJ31" s="139"/>
      <c r="VK31" s="139"/>
      <c r="VL31" s="139"/>
      <c r="VM31" s="139"/>
      <c r="VN31" s="139"/>
      <c r="VO31" s="139"/>
      <c r="VP31" s="139"/>
      <c r="VQ31" s="139"/>
      <c r="VR31" s="139"/>
      <c r="VS31" s="139"/>
      <c r="VT31" s="139"/>
      <c r="VU31" s="139"/>
      <c r="VV31" s="139"/>
      <c r="VW31" s="139"/>
      <c r="VX31" s="139"/>
      <c r="VY31" s="139"/>
      <c r="VZ31" s="139"/>
      <c r="WA31" s="139"/>
      <c r="WB31" s="139"/>
      <c r="WC31" s="139"/>
      <c r="WD31" s="139"/>
      <c r="WE31" s="139"/>
      <c r="WF31" s="139"/>
      <c r="WG31" s="139"/>
      <c r="WH31" s="139"/>
      <c r="WI31" s="139"/>
      <c r="WJ31" s="139"/>
      <c r="WK31" s="139"/>
      <c r="WL31" s="139"/>
      <c r="WM31" s="139"/>
      <c r="WN31" s="139"/>
      <c r="WO31" s="139"/>
      <c r="WP31" s="139"/>
      <c r="WQ31" s="139"/>
      <c r="WR31" s="139"/>
      <c r="WS31" s="139"/>
      <c r="WT31" s="139"/>
      <c r="WU31" s="139"/>
      <c r="WV31" s="139"/>
      <c r="WW31" s="139"/>
      <c r="WX31" s="139"/>
      <c r="WY31" s="139"/>
      <c r="WZ31" s="139"/>
      <c r="XA31" s="139"/>
      <c r="XB31" s="139"/>
      <c r="XC31" s="139"/>
      <c r="XD31" s="139"/>
      <c r="XE31" s="139"/>
      <c r="XF31" s="139"/>
      <c r="XG31" s="139"/>
      <c r="XH31" s="139"/>
      <c r="XI31" s="139"/>
      <c r="XJ31" s="139"/>
      <c r="XK31" s="139"/>
      <c r="XL31" s="139"/>
      <c r="XM31" s="139"/>
      <c r="XN31" s="139"/>
      <c r="XO31" s="139"/>
      <c r="XP31" s="139"/>
      <c r="XQ31" s="139"/>
      <c r="XR31" s="139"/>
      <c r="XS31" s="139"/>
      <c r="XT31" s="139"/>
      <c r="XU31" s="139"/>
      <c r="XV31" s="139"/>
      <c r="XW31" s="139"/>
      <c r="XX31" s="139"/>
      <c r="XY31" s="139"/>
      <c r="XZ31" s="139"/>
      <c r="YA31" s="139"/>
      <c r="YB31" s="139"/>
      <c r="YC31" s="139"/>
      <c r="YD31" s="139"/>
      <c r="YE31" s="139"/>
      <c r="YF31" s="139"/>
      <c r="YG31" s="139"/>
      <c r="YH31" s="139"/>
      <c r="YI31" s="139"/>
      <c r="YJ31" s="139"/>
      <c r="YK31" s="139"/>
      <c r="YL31" s="139"/>
      <c r="YM31" s="139"/>
      <c r="YN31" s="139"/>
      <c r="YO31" s="139"/>
      <c r="YP31" s="139"/>
      <c r="YQ31" s="139"/>
      <c r="YR31" s="139"/>
      <c r="YS31" s="139"/>
      <c r="YT31" s="139"/>
      <c r="YU31" s="139"/>
      <c r="YV31" s="139"/>
      <c r="YW31" s="139"/>
      <c r="YX31" s="139"/>
      <c r="YY31" s="139"/>
      <c r="YZ31" s="139"/>
      <c r="ZA31" s="139"/>
      <c r="ZB31" s="139"/>
      <c r="ZC31" s="139"/>
      <c r="ZD31" s="139"/>
      <c r="ZE31" s="139"/>
      <c r="ZF31" s="139"/>
      <c r="ZG31" s="139"/>
      <c r="ZH31" s="139"/>
      <c r="ZI31" s="139"/>
      <c r="ZJ31" s="139"/>
      <c r="ZK31" s="139"/>
      <c r="ZL31" s="139"/>
      <c r="ZM31" s="139"/>
      <c r="ZN31" s="139"/>
      <c r="ZO31" s="139"/>
      <c r="ZP31" s="139"/>
      <c r="ZQ31" s="139"/>
      <c r="ZR31" s="139"/>
      <c r="ZS31" s="139"/>
      <c r="ZT31" s="139"/>
      <c r="ZU31" s="139"/>
      <c r="ZV31" s="139"/>
      <c r="ZW31" s="139"/>
      <c r="ZX31" s="139"/>
      <c r="ZY31" s="139"/>
      <c r="ZZ31" s="139"/>
      <c r="AAA31" s="139"/>
      <c r="AAB31" s="139"/>
      <c r="AAC31" s="139"/>
      <c r="AAD31" s="139"/>
      <c r="AAE31" s="139"/>
      <c r="AAF31" s="139"/>
      <c r="AAG31" s="139"/>
      <c r="AAH31" s="139"/>
      <c r="AAI31" s="139"/>
      <c r="AAJ31" s="139"/>
      <c r="AAK31" s="139"/>
      <c r="AAL31" s="139"/>
      <c r="AAM31" s="139"/>
      <c r="AAN31" s="139"/>
      <c r="AAO31" s="139"/>
      <c r="AAP31" s="139"/>
      <c r="AAQ31" s="139"/>
      <c r="AAR31" s="139"/>
      <c r="AAS31" s="139"/>
      <c r="AAT31" s="139"/>
      <c r="AAU31" s="139"/>
      <c r="AAV31" s="139"/>
      <c r="AAW31" s="139"/>
      <c r="AAX31" s="139"/>
      <c r="AAY31" s="139"/>
      <c r="AAZ31" s="139"/>
      <c r="ABA31" s="139"/>
      <c r="ABB31" s="139"/>
      <c r="ABC31" s="139"/>
      <c r="ABD31" s="139"/>
      <c r="ABE31" s="139"/>
      <c r="ABF31" s="139"/>
      <c r="ABG31" s="139"/>
      <c r="ABH31" s="139"/>
      <c r="ABI31" s="139"/>
      <c r="ABJ31" s="139"/>
      <c r="ABK31" s="139"/>
      <c r="ABL31" s="139"/>
      <c r="ABM31" s="139"/>
      <c r="ABN31" s="139"/>
      <c r="ABO31" s="139"/>
      <c r="ABP31" s="139"/>
      <c r="ABQ31" s="139"/>
      <c r="ABR31" s="139"/>
      <c r="ABS31" s="139"/>
      <c r="ABT31" s="139"/>
      <c r="ABU31" s="139"/>
      <c r="ABV31" s="139"/>
      <c r="ABW31" s="139"/>
      <c r="ABX31" s="139"/>
      <c r="ABY31" s="139"/>
      <c r="ABZ31" s="139"/>
      <c r="ACA31" s="139"/>
      <c r="ACB31" s="139"/>
      <c r="ACC31" s="139"/>
      <c r="ACD31" s="139"/>
      <c r="ACE31" s="139"/>
      <c r="ACF31" s="139"/>
      <c r="ACG31" s="139"/>
      <c r="ACH31" s="139"/>
      <c r="ACI31" s="139"/>
      <c r="ACJ31" s="139"/>
      <c r="ACK31" s="139"/>
      <c r="ACL31" s="139"/>
      <c r="ACM31" s="139"/>
      <c r="ACN31" s="139"/>
      <c r="ACO31" s="139"/>
      <c r="ACP31" s="139"/>
      <c r="ACQ31" s="139"/>
      <c r="ACR31" s="139"/>
      <c r="ACS31" s="139"/>
      <c r="ACT31" s="139"/>
      <c r="ACU31" s="139"/>
      <c r="ACV31" s="139"/>
      <c r="ACW31" s="139"/>
      <c r="ACX31" s="139"/>
      <c r="ACY31" s="139"/>
      <c r="ACZ31" s="139"/>
      <c r="ADA31" s="139"/>
      <c r="ADB31" s="139"/>
      <c r="ADC31" s="139"/>
      <c r="ADD31" s="139"/>
      <c r="ADE31" s="139"/>
      <c r="ADF31" s="139"/>
      <c r="ADG31" s="139"/>
      <c r="ADH31" s="139"/>
      <c r="ADI31" s="139"/>
      <c r="ADJ31" s="139"/>
      <c r="ADK31" s="139"/>
      <c r="ADL31" s="139"/>
      <c r="ADM31" s="139"/>
      <c r="ADN31" s="139"/>
      <c r="ADO31" s="139"/>
      <c r="ADP31" s="139"/>
      <c r="ADQ31" s="139"/>
      <c r="ADR31" s="139"/>
      <c r="ADS31" s="139"/>
      <c r="ADT31" s="139"/>
      <c r="ADU31" s="139"/>
      <c r="ADV31" s="139"/>
      <c r="ADW31" s="139"/>
      <c r="ADX31" s="139"/>
      <c r="ADY31" s="139"/>
      <c r="ADZ31" s="139"/>
      <c r="AEA31" s="139"/>
      <c r="AEB31" s="139"/>
      <c r="AEC31" s="139"/>
      <c r="AED31" s="139"/>
      <c r="AEE31" s="139"/>
      <c r="AEF31" s="139"/>
      <c r="AEG31" s="139"/>
      <c r="AEH31" s="139"/>
      <c r="AEI31" s="139"/>
      <c r="AEJ31" s="139"/>
      <c r="AEK31" s="139"/>
      <c r="AEL31" s="139"/>
      <c r="AEM31" s="139"/>
      <c r="AEN31" s="139"/>
      <c r="AEO31" s="139"/>
      <c r="AEP31" s="139"/>
      <c r="AEQ31" s="139"/>
      <c r="AER31" s="139"/>
      <c r="AES31" s="139"/>
      <c r="AET31" s="139"/>
      <c r="AEU31" s="139"/>
      <c r="AEV31" s="139"/>
      <c r="AEW31" s="139"/>
      <c r="AEX31" s="139"/>
      <c r="AEY31" s="139"/>
      <c r="AEZ31" s="139"/>
      <c r="AFA31" s="139"/>
      <c r="AFB31" s="139"/>
      <c r="AFC31" s="139"/>
      <c r="AFD31" s="139"/>
      <c r="AFE31" s="139"/>
      <c r="AFF31" s="139"/>
      <c r="AFG31" s="139"/>
      <c r="AFH31" s="139"/>
      <c r="AFI31" s="139"/>
      <c r="AFJ31" s="139"/>
      <c r="AFK31" s="139"/>
      <c r="AFL31" s="139"/>
      <c r="AFM31" s="139"/>
      <c r="AFN31" s="139"/>
      <c r="AFO31" s="139"/>
      <c r="AFP31" s="139"/>
      <c r="AFQ31" s="139"/>
      <c r="AFR31" s="139"/>
      <c r="AFS31" s="139"/>
      <c r="AFT31" s="139"/>
      <c r="AFU31" s="139"/>
      <c r="AFV31" s="139"/>
      <c r="AFW31" s="139"/>
      <c r="AFX31" s="139"/>
      <c r="AFY31" s="139"/>
      <c r="AFZ31" s="139"/>
      <c r="AGA31" s="139"/>
      <c r="AGB31" s="139"/>
      <c r="AGC31" s="139"/>
      <c r="AGD31" s="139"/>
      <c r="AGE31" s="139"/>
      <c r="AGF31" s="139"/>
      <c r="AGG31" s="139"/>
      <c r="AGH31" s="139"/>
      <c r="AGI31" s="139"/>
      <c r="AGJ31" s="139"/>
      <c r="AGK31" s="139"/>
      <c r="AGL31" s="139"/>
      <c r="AGM31" s="139"/>
      <c r="AGN31" s="139"/>
      <c r="AGO31" s="139"/>
      <c r="AGP31" s="139"/>
      <c r="AGQ31" s="139"/>
      <c r="AGR31" s="139"/>
      <c r="AGS31" s="139"/>
      <c r="AGT31" s="139"/>
      <c r="AGU31" s="139"/>
      <c r="AGV31" s="139"/>
      <c r="AGW31" s="139"/>
      <c r="AGX31" s="139"/>
      <c r="AGY31" s="139"/>
      <c r="AGZ31" s="139"/>
      <c r="AHA31" s="139"/>
      <c r="AHB31" s="139"/>
      <c r="AHC31" s="139"/>
      <c r="AHD31" s="139"/>
      <c r="AHE31" s="139"/>
      <c r="AHF31" s="139"/>
      <c r="AHG31" s="139"/>
      <c r="AHH31" s="139"/>
      <c r="AHI31" s="139"/>
      <c r="AHJ31" s="139"/>
      <c r="AHK31" s="139"/>
      <c r="AHL31" s="139"/>
      <c r="AHM31" s="139"/>
      <c r="AHN31" s="139"/>
      <c r="AHO31" s="139"/>
      <c r="AHP31" s="139"/>
      <c r="AHQ31" s="139"/>
      <c r="AHR31" s="139"/>
      <c r="AHS31" s="139"/>
      <c r="AHT31" s="139"/>
      <c r="AHU31" s="139"/>
      <c r="AHV31" s="139"/>
      <c r="AHW31" s="139"/>
      <c r="AHX31" s="139"/>
      <c r="AHY31" s="139"/>
      <c r="AHZ31" s="139"/>
      <c r="AIA31" s="139"/>
      <c r="AIB31" s="139"/>
      <c r="AIC31" s="139"/>
      <c r="AID31" s="139"/>
      <c r="AIE31" s="139"/>
      <c r="AIF31" s="139"/>
      <c r="AIG31" s="139"/>
      <c r="AIH31" s="139"/>
      <c r="AII31" s="139"/>
      <c r="AIJ31" s="139"/>
      <c r="AIK31" s="139"/>
      <c r="AIL31" s="139"/>
      <c r="AIM31" s="139"/>
      <c r="AIN31" s="139"/>
      <c r="AIO31" s="139"/>
      <c r="AIP31" s="139"/>
      <c r="AIQ31" s="139"/>
      <c r="AIR31" s="139"/>
      <c r="AIS31" s="139"/>
      <c r="AIT31" s="139"/>
      <c r="AIU31" s="139"/>
      <c r="AIV31" s="139"/>
      <c r="AIW31" s="139"/>
      <c r="AIX31" s="139"/>
      <c r="AIY31" s="139"/>
      <c r="AIZ31" s="139"/>
      <c r="AJA31" s="139"/>
      <c r="AJB31" s="139"/>
      <c r="AJC31" s="139"/>
      <c r="AJD31" s="139"/>
      <c r="AJE31" s="139"/>
      <c r="AJF31" s="139"/>
      <c r="AJG31" s="139"/>
      <c r="AJH31" s="139"/>
      <c r="AJI31" s="139"/>
      <c r="AJJ31" s="139"/>
      <c r="AJK31" s="139"/>
      <c r="AJL31" s="139"/>
      <c r="AJM31" s="139"/>
      <c r="AJN31" s="139"/>
      <c r="AJO31" s="139"/>
      <c r="AJP31" s="139"/>
      <c r="AJQ31" s="139"/>
      <c r="AJR31" s="139"/>
      <c r="AJS31" s="139"/>
      <c r="AJT31" s="139"/>
      <c r="AJU31" s="139"/>
      <c r="AJV31" s="139"/>
      <c r="AJW31" s="139"/>
      <c r="AJX31" s="139"/>
      <c r="AJY31" s="139"/>
      <c r="AJZ31" s="139"/>
      <c r="AKA31" s="139"/>
      <c r="AKB31" s="139"/>
      <c r="AKC31" s="139"/>
      <c r="AKD31" s="139"/>
      <c r="AKE31" s="139"/>
      <c r="AKF31" s="139"/>
      <c r="AKG31" s="139"/>
      <c r="AKH31" s="139"/>
      <c r="AKI31" s="139"/>
      <c r="AKJ31" s="139"/>
      <c r="AKK31" s="139"/>
      <c r="AKL31" s="139"/>
      <c r="AKM31" s="139"/>
      <c r="AKN31" s="139"/>
      <c r="AKO31" s="139"/>
      <c r="AKP31" s="139"/>
      <c r="AKQ31" s="139"/>
      <c r="AKR31" s="139"/>
      <c r="AKS31" s="139"/>
      <c r="AKT31" s="139"/>
      <c r="AKU31" s="139"/>
      <c r="AKV31" s="139"/>
      <c r="AKW31" s="139"/>
      <c r="AKX31" s="139"/>
      <c r="AKY31" s="139"/>
      <c r="AKZ31" s="139"/>
      <c r="ALA31" s="139"/>
      <c r="ALB31" s="139"/>
      <c r="ALC31" s="139"/>
      <c r="ALD31" s="139"/>
      <c r="ALE31" s="139"/>
      <c r="ALF31" s="139"/>
      <c r="ALG31" s="139"/>
      <c r="ALH31" s="139"/>
      <c r="ALI31" s="139"/>
      <c r="ALJ31" s="139"/>
      <c r="ALK31" s="139"/>
      <c r="ALL31" s="139"/>
      <c r="ALM31" s="139"/>
      <c r="ALN31" s="139"/>
      <c r="ALO31" s="139"/>
      <c r="ALP31" s="139"/>
      <c r="ALQ31" s="139"/>
      <c r="ALR31" s="139"/>
      <c r="ALS31" s="139"/>
      <c r="ALT31" s="139"/>
      <c r="ALU31" s="139"/>
      <c r="ALV31" s="139"/>
      <c r="ALW31" s="139"/>
      <c r="ALX31" s="139"/>
      <c r="ALY31" s="139"/>
      <c r="ALZ31" s="139"/>
      <c r="AMA31" s="139"/>
      <c r="AMB31" s="139"/>
      <c r="AMC31" s="139"/>
      <c r="AMD31" s="139"/>
      <c r="AME31" s="139"/>
      <c r="AMF31" s="139"/>
      <c r="AMG31" s="139"/>
      <c r="AMH31" s="139"/>
      <c r="AMI31" s="139"/>
      <c r="AMJ31" s="139"/>
    </row>
    <row r="32" spans="1:1024" s="140" customFormat="1" x14ac:dyDescent="0.25">
      <c r="A32" s="183" t="s">
        <v>26</v>
      </c>
      <c r="B32" s="184">
        <v>1</v>
      </c>
      <c r="C32" s="184">
        <v>2</v>
      </c>
      <c r="D32" s="184">
        <v>3</v>
      </c>
      <c r="E32" s="184">
        <v>4</v>
      </c>
      <c r="F32" s="184">
        <v>5</v>
      </c>
      <c r="G32" s="184">
        <v>6</v>
      </c>
      <c r="H32" s="184">
        <v>7</v>
      </c>
      <c r="I32" s="184">
        <v>8</v>
      </c>
      <c r="J32" s="184">
        <v>9</v>
      </c>
      <c r="K32" s="184">
        <v>10</v>
      </c>
      <c r="L32" s="184">
        <v>11</v>
      </c>
      <c r="M32" s="184">
        <v>12</v>
      </c>
      <c r="N32" s="184">
        <v>13</v>
      </c>
      <c r="O32" s="184">
        <v>14</v>
      </c>
      <c r="P32" s="184">
        <v>15</v>
      </c>
      <c r="Q32" s="184">
        <v>16</v>
      </c>
      <c r="R32" s="184">
        <v>17</v>
      </c>
      <c r="S32" s="184">
        <v>18</v>
      </c>
      <c r="T32" s="184">
        <v>19</v>
      </c>
      <c r="U32" s="184">
        <v>20</v>
      </c>
      <c r="V32" s="184">
        <v>21</v>
      </c>
      <c r="W32" s="184">
        <v>22</v>
      </c>
      <c r="X32" s="184">
        <v>23</v>
      </c>
      <c r="Y32" s="184">
        <v>24</v>
      </c>
      <c r="Z32" s="184">
        <v>25</v>
      </c>
      <c r="AA32" s="184">
        <v>26</v>
      </c>
      <c r="AB32" s="184">
        <v>27</v>
      </c>
      <c r="AC32" s="184">
        <v>28</v>
      </c>
      <c r="AD32" s="184">
        <v>29</v>
      </c>
      <c r="AE32" s="184">
        <v>30</v>
      </c>
      <c r="AF32" s="184">
        <v>31</v>
      </c>
      <c r="AG32" s="184">
        <v>32</v>
      </c>
      <c r="AH32" s="184">
        <v>33</v>
      </c>
      <c r="AI32" s="184">
        <v>34</v>
      </c>
      <c r="AJ32" s="184">
        <v>35</v>
      </c>
      <c r="AK32" s="184">
        <v>36</v>
      </c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39"/>
      <c r="EL32" s="139"/>
      <c r="EM32" s="139"/>
      <c r="EN32" s="139"/>
      <c r="EO32" s="139"/>
      <c r="EP32" s="139"/>
      <c r="EQ32" s="139"/>
      <c r="ER32" s="139"/>
      <c r="ES32" s="139"/>
      <c r="ET32" s="139"/>
      <c r="EU32" s="139"/>
      <c r="EV32" s="139"/>
      <c r="EW32" s="139"/>
      <c r="EX32" s="139"/>
      <c r="EY32" s="139"/>
      <c r="EZ32" s="139"/>
      <c r="FA32" s="139"/>
      <c r="FB32" s="139"/>
      <c r="FC32" s="139"/>
      <c r="FD32" s="139"/>
      <c r="FE32" s="139"/>
      <c r="FF32" s="139"/>
      <c r="FG32" s="139"/>
      <c r="FH32" s="139"/>
      <c r="FI32" s="139"/>
      <c r="FJ32" s="139"/>
      <c r="FK32" s="139"/>
      <c r="FL32" s="139"/>
      <c r="FM32" s="139"/>
      <c r="FN32" s="139"/>
      <c r="FO32" s="139"/>
      <c r="FP32" s="139"/>
      <c r="FQ32" s="139"/>
      <c r="FR32" s="139"/>
      <c r="FS32" s="139"/>
      <c r="FT32" s="139"/>
      <c r="FU32" s="139"/>
      <c r="FV32" s="139"/>
      <c r="FW32" s="139"/>
      <c r="FX32" s="139"/>
      <c r="FY32" s="139"/>
      <c r="FZ32" s="139"/>
      <c r="GA32" s="139"/>
      <c r="GB32" s="139"/>
      <c r="GC32" s="139"/>
      <c r="GD32" s="139"/>
      <c r="GE32" s="139"/>
      <c r="GF32" s="139"/>
      <c r="GG32" s="139"/>
      <c r="GH32" s="139"/>
      <c r="GI32" s="139"/>
      <c r="GJ32" s="139"/>
      <c r="GK32" s="139"/>
      <c r="GL32" s="139"/>
      <c r="GM32" s="139"/>
      <c r="GN32" s="139"/>
      <c r="GO32" s="139"/>
      <c r="GP32" s="139"/>
      <c r="GQ32" s="139"/>
      <c r="GR32" s="139"/>
      <c r="GS32" s="139"/>
      <c r="GT32" s="139"/>
      <c r="GU32" s="139"/>
      <c r="GV32" s="139"/>
      <c r="GW32" s="139"/>
      <c r="GX32" s="139"/>
      <c r="GY32" s="139"/>
      <c r="GZ32" s="139"/>
      <c r="HA32" s="139"/>
      <c r="HB32" s="139"/>
      <c r="HC32" s="139"/>
      <c r="HD32" s="139"/>
      <c r="HE32" s="139"/>
      <c r="HF32" s="139"/>
      <c r="HG32" s="139"/>
      <c r="HH32" s="139"/>
      <c r="HI32" s="139"/>
      <c r="HJ32" s="139"/>
      <c r="HK32" s="139"/>
      <c r="HL32" s="139"/>
      <c r="HM32" s="139"/>
      <c r="HN32" s="139"/>
      <c r="HO32" s="139"/>
      <c r="HP32" s="139"/>
      <c r="HQ32" s="139"/>
      <c r="HR32" s="139"/>
      <c r="HS32" s="139"/>
      <c r="HT32" s="139"/>
      <c r="HU32" s="139"/>
      <c r="HV32" s="139"/>
      <c r="HW32" s="139"/>
      <c r="HX32" s="139"/>
      <c r="HY32" s="139"/>
      <c r="HZ32" s="139"/>
      <c r="IA32" s="139"/>
      <c r="IB32" s="139"/>
      <c r="IC32" s="139"/>
      <c r="ID32" s="139"/>
      <c r="IE32" s="139"/>
      <c r="IF32" s="139"/>
      <c r="IG32" s="139"/>
      <c r="IH32" s="139"/>
      <c r="II32" s="139"/>
      <c r="IJ32" s="139"/>
      <c r="IK32" s="139"/>
      <c r="IL32" s="139"/>
      <c r="IM32" s="139"/>
      <c r="IN32" s="139"/>
      <c r="IO32" s="139"/>
      <c r="IP32" s="139"/>
      <c r="IQ32" s="139"/>
      <c r="IR32" s="139"/>
      <c r="IS32" s="139"/>
      <c r="IT32" s="139"/>
      <c r="IU32" s="139"/>
      <c r="IV32" s="139"/>
      <c r="IW32" s="139"/>
      <c r="IX32" s="139"/>
      <c r="IY32" s="139"/>
      <c r="IZ32" s="139"/>
      <c r="JA32" s="139"/>
      <c r="JB32" s="139"/>
      <c r="JC32" s="139"/>
      <c r="JD32" s="139"/>
      <c r="JE32" s="139"/>
      <c r="JF32" s="139"/>
      <c r="JG32" s="139"/>
      <c r="JH32" s="139"/>
      <c r="JI32" s="139"/>
      <c r="JJ32" s="139"/>
      <c r="JK32" s="139"/>
      <c r="JL32" s="139"/>
      <c r="JM32" s="139"/>
      <c r="JN32" s="139"/>
      <c r="JO32" s="139"/>
      <c r="JP32" s="139"/>
      <c r="JQ32" s="139"/>
      <c r="JR32" s="139"/>
      <c r="JS32" s="139"/>
      <c r="JT32" s="139"/>
      <c r="JU32" s="139"/>
      <c r="JV32" s="139"/>
      <c r="JW32" s="139"/>
      <c r="JX32" s="139"/>
      <c r="JY32" s="139"/>
      <c r="JZ32" s="139"/>
      <c r="KA32" s="139"/>
      <c r="KB32" s="139"/>
      <c r="KC32" s="139"/>
      <c r="KD32" s="139"/>
      <c r="KE32" s="139"/>
      <c r="KF32" s="139"/>
      <c r="KG32" s="139"/>
      <c r="KH32" s="139"/>
      <c r="KI32" s="139"/>
      <c r="KJ32" s="139"/>
      <c r="KK32" s="139"/>
      <c r="KL32" s="139"/>
      <c r="KM32" s="139"/>
      <c r="KN32" s="139"/>
      <c r="KO32" s="139"/>
      <c r="KP32" s="139"/>
      <c r="KQ32" s="139"/>
      <c r="KR32" s="139"/>
      <c r="KS32" s="139"/>
      <c r="KT32" s="139"/>
      <c r="KU32" s="139"/>
      <c r="KV32" s="139"/>
      <c r="KW32" s="139"/>
      <c r="KX32" s="139"/>
      <c r="KY32" s="139"/>
      <c r="KZ32" s="139"/>
      <c r="LA32" s="139"/>
      <c r="LB32" s="139"/>
      <c r="LC32" s="139"/>
      <c r="LD32" s="139"/>
      <c r="LE32" s="139"/>
      <c r="LF32" s="139"/>
      <c r="LG32" s="139"/>
      <c r="LH32" s="139"/>
      <c r="LI32" s="139"/>
      <c r="LJ32" s="139"/>
      <c r="LK32" s="139"/>
      <c r="LL32" s="139"/>
      <c r="LM32" s="139"/>
      <c r="LN32" s="139"/>
      <c r="LO32" s="139"/>
      <c r="LP32" s="139"/>
      <c r="LQ32" s="139"/>
      <c r="LR32" s="139"/>
      <c r="LS32" s="139"/>
      <c r="LT32" s="139"/>
      <c r="LU32" s="139"/>
      <c r="LV32" s="139"/>
      <c r="LW32" s="139"/>
      <c r="LX32" s="139"/>
      <c r="LY32" s="139"/>
      <c r="LZ32" s="139"/>
      <c r="MA32" s="139"/>
      <c r="MB32" s="139"/>
      <c r="MC32" s="139"/>
      <c r="MD32" s="139"/>
      <c r="ME32" s="139"/>
      <c r="MF32" s="139"/>
      <c r="MG32" s="139"/>
      <c r="MH32" s="139"/>
      <c r="MI32" s="139"/>
      <c r="MJ32" s="139"/>
      <c r="MK32" s="139"/>
      <c r="ML32" s="139"/>
      <c r="MM32" s="139"/>
      <c r="MN32" s="139"/>
      <c r="MO32" s="139"/>
      <c r="MP32" s="139"/>
      <c r="MQ32" s="139"/>
      <c r="MR32" s="139"/>
      <c r="MS32" s="139"/>
      <c r="MT32" s="139"/>
      <c r="MU32" s="139"/>
      <c r="MV32" s="139"/>
      <c r="MW32" s="139"/>
      <c r="MX32" s="139"/>
      <c r="MY32" s="139"/>
      <c r="MZ32" s="139"/>
      <c r="NA32" s="139"/>
      <c r="NB32" s="139"/>
      <c r="NC32" s="139"/>
      <c r="ND32" s="139"/>
      <c r="NE32" s="139"/>
      <c r="NF32" s="139"/>
      <c r="NG32" s="139"/>
      <c r="NH32" s="139"/>
      <c r="NI32" s="139"/>
      <c r="NJ32" s="139"/>
      <c r="NK32" s="139"/>
      <c r="NL32" s="139"/>
      <c r="NM32" s="139"/>
      <c r="NN32" s="139"/>
      <c r="NO32" s="139"/>
      <c r="NP32" s="139"/>
      <c r="NQ32" s="139"/>
      <c r="NR32" s="139"/>
      <c r="NS32" s="139"/>
      <c r="NT32" s="139"/>
      <c r="NU32" s="139"/>
      <c r="NV32" s="139"/>
      <c r="NW32" s="139"/>
      <c r="NX32" s="139"/>
      <c r="NY32" s="139"/>
      <c r="NZ32" s="139"/>
      <c r="OA32" s="139"/>
      <c r="OB32" s="139"/>
      <c r="OC32" s="139"/>
      <c r="OD32" s="139"/>
      <c r="OE32" s="139"/>
      <c r="OF32" s="139"/>
      <c r="OG32" s="139"/>
      <c r="OH32" s="139"/>
      <c r="OI32" s="139"/>
      <c r="OJ32" s="139"/>
      <c r="OK32" s="139"/>
      <c r="OL32" s="139"/>
      <c r="OM32" s="139"/>
      <c r="ON32" s="139"/>
      <c r="OO32" s="139"/>
      <c r="OP32" s="139"/>
      <c r="OQ32" s="139"/>
      <c r="OR32" s="139"/>
      <c r="OS32" s="139"/>
      <c r="OT32" s="139"/>
      <c r="OU32" s="139"/>
      <c r="OV32" s="139"/>
      <c r="OW32" s="139"/>
      <c r="OX32" s="139"/>
      <c r="OY32" s="139"/>
      <c r="OZ32" s="139"/>
      <c r="PA32" s="139"/>
      <c r="PB32" s="139"/>
      <c r="PC32" s="139"/>
      <c r="PD32" s="139"/>
      <c r="PE32" s="139"/>
      <c r="PF32" s="139"/>
      <c r="PG32" s="139"/>
      <c r="PH32" s="139"/>
      <c r="PI32" s="139"/>
      <c r="PJ32" s="139"/>
      <c r="PK32" s="139"/>
      <c r="PL32" s="139"/>
      <c r="PM32" s="139"/>
      <c r="PN32" s="139"/>
      <c r="PO32" s="139"/>
      <c r="PP32" s="139"/>
      <c r="PQ32" s="139"/>
      <c r="PR32" s="139"/>
      <c r="PS32" s="139"/>
      <c r="PT32" s="139"/>
      <c r="PU32" s="139"/>
      <c r="PV32" s="139"/>
      <c r="PW32" s="139"/>
      <c r="PX32" s="139"/>
      <c r="PY32" s="139"/>
      <c r="PZ32" s="139"/>
      <c r="QA32" s="139"/>
      <c r="QB32" s="139"/>
      <c r="QC32" s="139"/>
      <c r="QD32" s="139"/>
      <c r="QE32" s="139"/>
      <c r="QF32" s="139"/>
      <c r="QG32" s="139"/>
      <c r="QH32" s="139"/>
      <c r="QI32" s="139"/>
      <c r="QJ32" s="139"/>
      <c r="QK32" s="139"/>
      <c r="QL32" s="139"/>
      <c r="QM32" s="139"/>
      <c r="QN32" s="139"/>
      <c r="QO32" s="139"/>
      <c r="QP32" s="139"/>
      <c r="QQ32" s="139"/>
      <c r="QR32" s="139"/>
      <c r="QS32" s="139"/>
      <c r="QT32" s="139"/>
      <c r="QU32" s="139"/>
      <c r="QV32" s="139"/>
      <c r="QW32" s="139"/>
      <c r="QX32" s="139"/>
      <c r="QY32" s="139"/>
      <c r="QZ32" s="139"/>
      <c r="RA32" s="139"/>
      <c r="RB32" s="139"/>
      <c r="RC32" s="139"/>
      <c r="RD32" s="139"/>
      <c r="RE32" s="139"/>
      <c r="RF32" s="139"/>
      <c r="RG32" s="139"/>
      <c r="RH32" s="139"/>
      <c r="RI32" s="139"/>
      <c r="RJ32" s="139"/>
      <c r="RK32" s="139"/>
      <c r="RL32" s="139"/>
      <c r="RM32" s="139"/>
      <c r="RN32" s="139"/>
      <c r="RO32" s="139"/>
      <c r="RP32" s="139"/>
      <c r="RQ32" s="139"/>
      <c r="RR32" s="139"/>
      <c r="RS32" s="139"/>
      <c r="RT32" s="139"/>
      <c r="RU32" s="139"/>
      <c r="RV32" s="139"/>
      <c r="RW32" s="139"/>
      <c r="RX32" s="139"/>
      <c r="RY32" s="139"/>
      <c r="RZ32" s="139"/>
      <c r="SA32" s="139"/>
      <c r="SB32" s="139"/>
      <c r="SC32" s="139"/>
      <c r="SD32" s="139"/>
      <c r="SE32" s="139"/>
      <c r="SF32" s="139"/>
      <c r="SG32" s="139"/>
      <c r="SH32" s="139"/>
      <c r="SI32" s="139"/>
      <c r="SJ32" s="139"/>
      <c r="SK32" s="139"/>
      <c r="SL32" s="139"/>
      <c r="SM32" s="139"/>
      <c r="SN32" s="139"/>
      <c r="SO32" s="139"/>
      <c r="SP32" s="139"/>
      <c r="SQ32" s="139"/>
      <c r="SR32" s="139"/>
      <c r="SS32" s="139"/>
      <c r="ST32" s="139"/>
      <c r="SU32" s="139"/>
      <c r="SV32" s="139"/>
      <c r="SW32" s="139"/>
      <c r="SX32" s="139"/>
      <c r="SY32" s="139"/>
      <c r="SZ32" s="139"/>
      <c r="TA32" s="139"/>
      <c r="TB32" s="139"/>
      <c r="TC32" s="139"/>
      <c r="TD32" s="139"/>
      <c r="TE32" s="139"/>
      <c r="TF32" s="139"/>
      <c r="TG32" s="139"/>
      <c r="TH32" s="139"/>
      <c r="TI32" s="139"/>
      <c r="TJ32" s="139"/>
      <c r="TK32" s="139"/>
      <c r="TL32" s="139"/>
      <c r="TM32" s="139"/>
      <c r="TN32" s="139"/>
      <c r="TO32" s="139"/>
      <c r="TP32" s="139"/>
      <c r="TQ32" s="139"/>
      <c r="TR32" s="139"/>
      <c r="TS32" s="139"/>
      <c r="TT32" s="139"/>
      <c r="TU32" s="139"/>
      <c r="TV32" s="139"/>
      <c r="TW32" s="139"/>
      <c r="TX32" s="139"/>
      <c r="TY32" s="139"/>
      <c r="TZ32" s="139"/>
      <c r="UA32" s="139"/>
      <c r="UB32" s="139"/>
      <c r="UC32" s="139"/>
      <c r="UD32" s="139"/>
      <c r="UE32" s="139"/>
      <c r="UF32" s="139"/>
      <c r="UG32" s="139"/>
      <c r="UH32" s="139"/>
      <c r="UI32" s="139"/>
      <c r="UJ32" s="139"/>
      <c r="UK32" s="139"/>
      <c r="UL32" s="139"/>
      <c r="UM32" s="139"/>
      <c r="UN32" s="139"/>
      <c r="UO32" s="139"/>
      <c r="UP32" s="139"/>
      <c r="UQ32" s="139"/>
      <c r="UR32" s="139"/>
      <c r="US32" s="139"/>
      <c r="UT32" s="139"/>
      <c r="UU32" s="139"/>
      <c r="UV32" s="139"/>
      <c r="UW32" s="139"/>
      <c r="UX32" s="139"/>
      <c r="UY32" s="139"/>
      <c r="UZ32" s="139"/>
      <c r="VA32" s="139"/>
      <c r="VB32" s="139"/>
      <c r="VC32" s="139"/>
      <c r="VD32" s="139"/>
      <c r="VE32" s="139"/>
      <c r="VF32" s="139"/>
      <c r="VG32" s="139"/>
      <c r="VH32" s="139"/>
      <c r="VI32" s="139"/>
      <c r="VJ32" s="139"/>
      <c r="VK32" s="139"/>
      <c r="VL32" s="139"/>
      <c r="VM32" s="139"/>
      <c r="VN32" s="139"/>
      <c r="VO32" s="139"/>
      <c r="VP32" s="139"/>
      <c r="VQ32" s="139"/>
      <c r="VR32" s="139"/>
      <c r="VS32" s="139"/>
      <c r="VT32" s="139"/>
      <c r="VU32" s="139"/>
      <c r="VV32" s="139"/>
      <c r="VW32" s="139"/>
      <c r="VX32" s="139"/>
      <c r="VY32" s="139"/>
      <c r="VZ32" s="139"/>
      <c r="WA32" s="139"/>
      <c r="WB32" s="139"/>
      <c r="WC32" s="139"/>
      <c r="WD32" s="139"/>
      <c r="WE32" s="139"/>
      <c r="WF32" s="139"/>
      <c r="WG32" s="139"/>
      <c r="WH32" s="139"/>
      <c r="WI32" s="139"/>
      <c r="WJ32" s="139"/>
      <c r="WK32" s="139"/>
      <c r="WL32" s="139"/>
      <c r="WM32" s="139"/>
      <c r="WN32" s="139"/>
      <c r="WO32" s="139"/>
      <c r="WP32" s="139"/>
      <c r="WQ32" s="139"/>
      <c r="WR32" s="139"/>
      <c r="WS32" s="139"/>
      <c r="WT32" s="139"/>
      <c r="WU32" s="139"/>
      <c r="WV32" s="139"/>
      <c r="WW32" s="139"/>
      <c r="WX32" s="139"/>
      <c r="WY32" s="139"/>
      <c r="WZ32" s="139"/>
      <c r="XA32" s="139"/>
      <c r="XB32" s="139"/>
      <c r="XC32" s="139"/>
      <c r="XD32" s="139"/>
      <c r="XE32" s="139"/>
      <c r="XF32" s="139"/>
      <c r="XG32" s="139"/>
      <c r="XH32" s="139"/>
      <c r="XI32" s="139"/>
      <c r="XJ32" s="139"/>
      <c r="XK32" s="139"/>
      <c r="XL32" s="139"/>
      <c r="XM32" s="139"/>
      <c r="XN32" s="139"/>
      <c r="XO32" s="139"/>
      <c r="XP32" s="139"/>
      <c r="XQ32" s="139"/>
      <c r="XR32" s="139"/>
      <c r="XS32" s="139"/>
      <c r="XT32" s="139"/>
      <c r="XU32" s="139"/>
      <c r="XV32" s="139"/>
      <c r="XW32" s="139"/>
      <c r="XX32" s="139"/>
      <c r="XY32" s="139"/>
      <c r="XZ32" s="139"/>
      <c r="YA32" s="139"/>
      <c r="YB32" s="139"/>
      <c r="YC32" s="139"/>
      <c r="YD32" s="139"/>
      <c r="YE32" s="139"/>
      <c r="YF32" s="139"/>
      <c r="YG32" s="139"/>
      <c r="YH32" s="139"/>
      <c r="YI32" s="139"/>
      <c r="YJ32" s="139"/>
      <c r="YK32" s="139"/>
      <c r="YL32" s="139"/>
      <c r="YM32" s="139"/>
      <c r="YN32" s="139"/>
      <c r="YO32" s="139"/>
      <c r="YP32" s="139"/>
      <c r="YQ32" s="139"/>
      <c r="YR32" s="139"/>
      <c r="YS32" s="139"/>
      <c r="YT32" s="139"/>
      <c r="YU32" s="139"/>
      <c r="YV32" s="139"/>
      <c r="YW32" s="139"/>
      <c r="YX32" s="139"/>
      <c r="YY32" s="139"/>
      <c r="YZ32" s="139"/>
      <c r="ZA32" s="139"/>
      <c r="ZB32" s="139"/>
      <c r="ZC32" s="139"/>
      <c r="ZD32" s="139"/>
      <c r="ZE32" s="139"/>
      <c r="ZF32" s="139"/>
      <c r="ZG32" s="139"/>
      <c r="ZH32" s="139"/>
      <c r="ZI32" s="139"/>
      <c r="ZJ32" s="139"/>
      <c r="ZK32" s="139"/>
      <c r="ZL32" s="139"/>
      <c r="ZM32" s="139"/>
      <c r="ZN32" s="139"/>
      <c r="ZO32" s="139"/>
      <c r="ZP32" s="139"/>
      <c r="ZQ32" s="139"/>
      <c r="ZR32" s="139"/>
      <c r="ZS32" s="139"/>
      <c r="ZT32" s="139"/>
      <c r="ZU32" s="139"/>
      <c r="ZV32" s="139"/>
      <c r="ZW32" s="139"/>
      <c r="ZX32" s="139"/>
      <c r="ZY32" s="139"/>
      <c r="ZZ32" s="139"/>
      <c r="AAA32" s="139"/>
      <c r="AAB32" s="139"/>
      <c r="AAC32" s="139"/>
      <c r="AAD32" s="139"/>
      <c r="AAE32" s="139"/>
      <c r="AAF32" s="139"/>
      <c r="AAG32" s="139"/>
      <c r="AAH32" s="139"/>
      <c r="AAI32" s="139"/>
      <c r="AAJ32" s="139"/>
      <c r="AAK32" s="139"/>
      <c r="AAL32" s="139"/>
      <c r="AAM32" s="139"/>
      <c r="AAN32" s="139"/>
      <c r="AAO32" s="139"/>
      <c r="AAP32" s="139"/>
      <c r="AAQ32" s="139"/>
      <c r="AAR32" s="139"/>
      <c r="AAS32" s="139"/>
      <c r="AAT32" s="139"/>
      <c r="AAU32" s="139"/>
      <c r="AAV32" s="139"/>
      <c r="AAW32" s="139"/>
      <c r="AAX32" s="139"/>
      <c r="AAY32" s="139"/>
      <c r="AAZ32" s="139"/>
      <c r="ABA32" s="139"/>
      <c r="ABB32" s="139"/>
      <c r="ABC32" s="139"/>
      <c r="ABD32" s="139"/>
      <c r="ABE32" s="139"/>
      <c r="ABF32" s="139"/>
      <c r="ABG32" s="139"/>
      <c r="ABH32" s="139"/>
      <c r="ABI32" s="139"/>
      <c r="ABJ32" s="139"/>
      <c r="ABK32" s="139"/>
      <c r="ABL32" s="139"/>
      <c r="ABM32" s="139"/>
      <c r="ABN32" s="139"/>
      <c r="ABO32" s="139"/>
      <c r="ABP32" s="139"/>
      <c r="ABQ32" s="139"/>
      <c r="ABR32" s="139"/>
      <c r="ABS32" s="139"/>
      <c r="ABT32" s="139"/>
      <c r="ABU32" s="139"/>
      <c r="ABV32" s="139"/>
      <c r="ABW32" s="139"/>
      <c r="ABX32" s="139"/>
      <c r="ABY32" s="139"/>
      <c r="ABZ32" s="139"/>
      <c r="ACA32" s="139"/>
      <c r="ACB32" s="139"/>
      <c r="ACC32" s="139"/>
      <c r="ACD32" s="139"/>
      <c r="ACE32" s="139"/>
      <c r="ACF32" s="139"/>
      <c r="ACG32" s="139"/>
      <c r="ACH32" s="139"/>
      <c r="ACI32" s="139"/>
      <c r="ACJ32" s="139"/>
      <c r="ACK32" s="139"/>
      <c r="ACL32" s="139"/>
      <c r="ACM32" s="139"/>
      <c r="ACN32" s="139"/>
      <c r="ACO32" s="139"/>
      <c r="ACP32" s="139"/>
      <c r="ACQ32" s="139"/>
      <c r="ACR32" s="139"/>
      <c r="ACS32" s="139"/>
      <c r="ACT32" s="139"/>
      <c r="ACU32" s="139"/>
      <c r="ACV32" s="139"/>
      <c r="ACW32" s="139"/>
      <c r="ACX32" s="139"/>
      <c r="ACY32" s="139"/>
      <c r="ACZ32" s="139"/>
      <c r="ADA32" s="139"/>
      <c r="ADB32" s="139"/>
      <c r="ADC32" s="139"/>
      <c r="ADD32" s="139"/>
      <c r="ADE32" s="139"/>
      <c r="ADF32" s="139"/>
      <c r="ADG32" s="139"/>
      <c r="ADH32" s="139"/>
      <c r="ADI32" s="139"/>
      <c r="ADJ32" s="139"/>
      <c r="ADK32" s="139"/>
      <c r="ADL32" s="139"/>
      <c r="ADM32" s="139"/>
      <c r="ADN32" s="139"/>
      <c r="ADO32" s="139"/>
      <c r="ADP32" s="139"/>
      <c r="ADQ32" s="139"/>
      <c r="ADR32" s="139"/>
      <c r="ADS32" s="139"/>
      <c r="ADT32" s="139"/>
      <c r="ADU32" s="139"/>
      <c r="ADV32" s="139"/>
      <c r="ADW32" s="139"/>
      <c r="ADX32" s="139"/>
      <c r="ADY32" s="139"/>
      <c r="ADZ32" s="139"/>
      <c r="AEA32" s="139"/>
      <c r="AEB32" s="139"/>
      <c r="AEC32" s="139"/>
      <c r="AED32" s="139"/>
      <c r="AEE32" s="139"/>
      <c r="AEF32" s="139"/>
      <c r="AEG32" s="139"/>
      <c r="AEH32" s="139"/>
      <c r="AEI32" s="139"/>
      <c r="AEJ32" s="139"/>
      <c r="AEK32" s="139"/>
      <c r="AEL32" s="139"/>
      <c r="AEM32" s="139"/>
      <c r="AEN32" s="139"/>
      <c r="AEO32" s="139"/>
      <c r="AEP32" s="139"/>
      <c r="AEQ32" s="139"/>
      <c r="AER32" s="139"/>
      <c r="AES32" s="139"/>
      <c r="AET32" s="139"/>
      <c r="AEU32" s="139"/>
      <c r="AEV32" s="139"/>
      <c r="AEW32" s="139"/>
      <c r="AEX32" s="139"/>
      <c r="AEY32" s="139"/>
      <c r="AEZ32" s="139"/>
      <c r="AFA32" s="139"/>
      <c r="AFB32" s="139"/>
      <c r="AFC32" s="139"/>
      <c r="AFD32" s="139"/>
      <c r="AFE32" s="139"/>
      <c r="AFF32" s="139"/>
      <c r="AFG32" s="139"/>
      <c r="AFH32" s="139"/>
      <c r="AFI32" s="139"/>
      <c r="AFJ32" s="139"/>
      <c r="AFK32" s="139"/>
      <c r="AFL32" s="139"/>
      <c r="AFM32" s="139"/>
      <c r="AFN32" s="139"/>
      <c r="AFO32" s="139"/>
      <c r="AFP32" s="139"/>
      <c r="AFQ32" s="139"/>
      <c r="AFR32" s="139"/>
      <c r="AFS32" s="139"/>
      <c r="AFT32" s="139"/>
      <c r="AFU32" s="139"/>
      <c r="AFV32" s="139"/>
      <c r="AFW32" s="139"/>
      <c r="AFX32" s="139"/>
      <c r="AFY32" s="139"/>
      <c r="AFZ32" s="139"/>
      <c r="AGA32" s="139"/>
      <c r="AGB32" s="139"/>
      <c r="AGC32" s="139"/>
      <c r="AGD32" s="139"/>
      <c r="AGE32" s="139"/>
      <c r="AGF32" s="139"/>
      <c r="AGG32" s="139"/>
      <c r="AGH32" s="139"/>
      <c r="AGI32" s="139"/>
      <c r="AGJ32" s="139"/>
      <c r="AGK32" s="139"/>
      <c r="AGL32" s="139"/>
      <c r="AGM32" s="139"/>
      <c r="AGN32" s="139"/>
      <c r="AGO32" s="139"/>
      <c r="AGP32" s="139"/>
      <c r="AGQ32" s="139"/>
      <c r="AGR32" s="139"/>
      <c r="AGS32" s="139"/>
      <c r="AGT32" s="139"/>
      <c r="AGU32" s="139"/>
      <c r="AGV32" s="139"/>
      <c r="AGW32" s="139"/>
      <c r="AGX32" s="139"/>
      <c r="AGY32" s="139"/>
      <c r="AGZ32" s="139"/>
      <c r="AHA32" s="139"/>
      <c r="AHB32" s="139"/>
      <c r="AHC32" s="139"/>
      <c r="AHD32" s="139"/>
      <c r="AHE32" s="139"/>
      <c r="AHF32" s="139"/>
      <c r="AHG32" s="139"/>
      <c r="AHH32" s="139"/>
      <c r="AHI32" s="139"/>
      <c r="AHJ32" s="139"/>
      <c r="AHK32" s="139"/>
      <c r="AHL32" s="139"/>
      <c r="AHM32" s="139"/>
      <c r="AHN32" s="139"/>
      <c r="AHO32" s="139"/>
      <c r="AHP32" s="139"/>
      <c r="AHQ32" s="139"/>
      <c r="AHR32" s="139"/>
      <c r="AHS32" s="139"/>
      <c r="AHT32" s="139"/>
      <c r="AHU32" s="139"/>
      <c r="AHV32" s="139"/>
      <c r="AHW32" s="139"/>
      <c r="AHX32" s="139"/>
      <c r="AHY32" s="139"/>
      <c r="AHZ32" s="139"/>
      <c r="AIA32" s="139"/>
      <c r="AIB32" s="139"/>
      <c r="AIC32" s="139"/>
      <c r="AID32" s="139"/>
      <c r="AIE32" s="139"/>
      <c r="AIF32" s="139"/>
      <c r="AIG32" s="139"/>
      <c r="AIH32" s="139"/>
      <c r="AII32" s="139"/>
      <c r="AIJ32" s="139"/>
      <c r="AIK32" s="139"/>
      <c r="AIL32" s="139"/>
      <c r="AIM32" s="139"/>
      <c r="AIN32" s="139"/>
      <c r="AIO32" s="139"/>
      <c r="AIP32" s="139"/>
      <c r="AIQ32" s="139"/>
      <c r="AIR32" s="139"/>
      <c r="AIS32" s="139"/>
      <c r="AIT32" s="139"/>
      <c r="AIU32" s="139"/>
      <c r="AIV32" s="139"/>
      <c r="AIW32" s="139"/>
      <c r="AIX32" s="139"/>
      <c r="AIY32" s="139"/>
      <c r="AIZ32" s="139"/>
      <c r="AJA32" s="139"/>
      <c r="AJB32" s="139"/>
      <c r="AJC32" s="139"/>
      <c r="AJD32" s="139"/>
      <c r="AJE32" s="139"/>
      <c r="AJF32" s="139"/>
      <c r="AJG32" s="139"/>
      <c r="AJH32" s="139"/>
      <c r="AJI32" s="139"/>
      <c r="AJJ32" s="139"/>
      <c r="AJK32" s="139"/>
      <c r="AJL32" s="139"/>
      <c r="AJM32" s="139"/>
      <c r="AJN32" s="139"/>
      <c r="AJO32" s="139"/>
      <c r="AJP32" s="139"/>
      <c r="AJQ32" s="139"/>
      <c r="AJR32" s="139"/>
      <c r="AJS32" s="139"/>
      <c r="AJT32" s="139"/>
      <c r="AJU32" s="139"/>
      <c r="AJV32" s="139"/>
      <c r="AJW32" s="139"/>
      <c r="AJX32" s="139"/>
      <c r="AJY32" s="139"/>
      <c r="AJZ32" s="139"/>
      <c r="AKA32" s="139"/>
      <c r="AKB32" s="139"/>
      <c r="AKC32" s="139"/>
      <c r="AKD32" s="139"/>
      <c r="AKE32" s="139"/>
      <c r="AKF32" s="139"/>
      <c r="AKG32" s="139"/>
      <c r="AKH32" s="139"/>
      <c r="AKI32" s="139"/>
      <c r="AKJ32" s="139"/>
      <c r="AKK32" s="139"/>
      <c r="AKL32" s="139"/>
      <c r="AKM32" s="139"/>
      <c r="AKN32" s="139"/>
      <c r="AKO32" s="139"/>
      <c r="AKP32" s="139"/>
      <c r="AKQ32" s="139"/>
      <c r="AKR32" s="139"/>
      <c r="AKS32" s="139"/>
      <c r="AKT32" s="139"/>
      <c r="AKU32" s="139"/>
      <c r="AKV32" s="139"/>
      <c r="AKW32" s="139"/>
      <c r="AKX32" s="139"/>
      <c r="AKY32" s="139"/>
      <c r="AKZ32" s="139"/>
      <c r="ALA32" s="139"/>
      <c r="ALB32" s="139"/>
      <c r="ALC32" s="139"/>
      <c r="ALD32" s="139"/>
      <c r="ALE32" s="139"/>
      <c r="ALF32" s="139"/>
      <c r="ALG32" s="139"/>
      <c r="ALH32" s="139"/>
      <c r="ALI32" s="139"/>
      <c r="ALJ32" s="139"/>
      <c r="ALK32" s="139"/>
      <c r="ALL32" s="139"/>
      <c r="ALM32" s="139"/>
      <c r="ALN32" s="139"/>
      <c r="ALO32" s="139"/>
      <c r="ALP32" s="139"/>
      <c r="ALQ32" s="139"/>
      <c r="ALR32" s="139"/>
      <c r="ALS32" s="139"/>
      <c r="ALT32" s="139"/>
      <c r="ALU32" s="139"/>
      <c r="ALV32" s="139"/>
      <c r="ALW32" s="139"/>
      <c r="ALX32" s="139"/>
      <c r="ALY32" s="139"/>
      <c r="ALZ32" s="139"/>
      <c r="AMA32" s="139"/>
      <c r="AMB32" s="139"/>
      <c r="AMC32" s="139"/>
      <c r="AMD32" s="139"/>
      <c r="AME32" s="139"/>
      <c r="AMF32" s="139"/>
      <c r="AMG32" s="139"/>
      <c r="AMH32" s="139"/>
      <c r="AMI32" s="139"/>
      <c r="AMJ32" s="139"/>
    </row>
    <row r="33" spans="1:1024" s="140" customFormat="1" x14ac:dyDescent="0.25">
      <c r="A33" s="183" t="s">
        <v>27</v>
      </c>
      <c r="B33" s="185" t="str">
        <f t="shared" ref="B33:AK33" si="17">MID($B4,B32,1)</f>
        <v>0</v>
      </c>
      <c r="C33" s="185" t="str">
        <f t="shared" si="17"/>
        <v>0</v>
      </c>
      <c r="D33" s="185" t="str">
        <f t="shared" si="17"/>
        <v>D</v>
      </c>
      <c r="E33" s="185" t="str">
        <f t="shared" si="17"/>
        <v>0</v>
      </c>
      <c r="F33" s="185" t="str">
        <f t="shared" si="17"/>
        <v>9</v>
      </c>
      <c r="G33" s="185" t="str">
        <f t="shared" si="17"/>
        <v>8</v>
      </c>
      <c r="H33" s="185" t="str">
        <f t="shared" si="17"/>
        <v>C</v>
      </c>
      <c r="I33" s="185" t="str">
        <f t="shared" si="17"/>
        <v>B</v>
      </c>
      <c r="J33" s="185" t="str">
        <f t="shared" si="17"/>
        <v>9</v>
      </c>
      <c r="K33" s="185" t="str">
        <f t="shared" si="17"/>
        <v>1</v>
      </c>
      <c r="L33" s="185" t="str">
        <f t="shared" si="17"/>
        <v>4</v>
      </c>
      <c r="M33" s="185" t="str">
        <f t="shared" si="17"/>
        <v>0</v>
      </c>
      <c r="N33" s="185" t="str">
        <f t="shared" si="17"/>
        <v>4</v>
      </c>
      <c r="O33" s="185" t="str">
        <f t="shared" si="17"/>
        <v>0</v>
      </c>
      <c r="P33" s="185" t="str">
        <f t="shared" si="17"/>
        <v>0</v>
      </c>
      <c r="Q33" s="185" t="str">
        <f t="shared" si="17"/>
        <v>0</v>
      </c>
      <c r="R33" s="185" t="str">
        <f t="shared" si="17"/>
        <v>8</v>
      </c>
      <c r="S33" s="185" t="str">
        <f t="shared" si="17"/>
        <v>3</v>
      </c>
      <c r="T33" s="185" t="str">
        <f t="shared" si="17"/>
        <v>6</v>
      </c>
      <c r="U33" s="185" t="str">
        <f t="shared" si="17"/>
        <v>0</v>
      </c>
      <c r="V33" s="185" t="str">
        <f t="shared" si="17"/>
        <v/>
      </c>
      <c r="W33" s="185" t="str">
        <f t="shared" si="17"/>
        <v/>
      </c>
      <c r="X33" s="185" t="str">
        <f t="shared" si="17"/>
        <v/>
      </c>
      <c r="Y33" s="185" t="str">
        <f t="shared" si="17"/>
        <v/>
      </c>
      <c r="Z33" s="185" t="str">
        <f t="shared" si="17"/>
        <v/>
      </c>
      <c r="AA33" s="185" t="str">
        <f t="shared" si="17"/>
        <v/>
      </c>
      <c r="AB33" s="185" t="str">
        <f t="shared" si="17"/>
        <v/>
      </c>
      <c r="AC33" s="185" t="str">
        <f t="shared" si="17"/>
        <v/>
      </c>
      <c r="AD33" s="185" t="str">
        <f t="shared" si="17"/>
        <v/>
      </c>
      <c r="AE33" s="185" t="str">
        <f t="shared" si="17"/>
        <v/>
      </c>
      <c r="AF33" s="185" t="str">
        <f t="shared" si="17"/>
        <v/>
      </c>
      <c r="AG33" s="185" t="str">
        <f t="shared" si="17"/>
        <v/>
      </c>
      <c r="AH33" s="185" t="str">
        <f t="shared" si="17"/>
        <v/>
      </c>
      <c r="AI33" s="185" t="str">
        <f t="shared" si="17"/>
        <v/>
      </c>
      <c r="AJ33" s="185" t="str">
        <f t="shared" si="17"/>
        <v/>
      </c>
      <c r="AK33" s="185" t="str">
        <f t="shared" si="17"/>
        <v/>
      </c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39"/>
      <c r="EL33" s="139"/>
      <c r="EM33" s="139"/>
      <c r="EN33" s="139"/>
      <c r="EO33" s="139"/>
      <c r="EP33" s="139"/>
      <c r="EQ33" s="139"/>
      <c r="ER33" s="139"/>
      <c r="ES33" s="139"/>
      <c r="ET33" s="139"/>
      <c r="EU33" s="139"/>
      <c r="EV33" s="139"/>
      <c r="EW33" s="139"/>
      <c r="EX33" s="139"/>
      <c r="EY33" s="139"/>
      <c r="EZ33" s="139"/>
      <c r="FA33" s="139"/>
      <c r="FB33" s="139"/>
      <c r="FC33" s="139"/>
      <c r="FD33" s="139"/>
      <c r="FE33" s="139"/>
      <c r="FF33" s="139"/>
      <c r="FG33" s="139"/>
      <c r="FH33" s="139"/>
      <c r="FI33" s="139"/>
      <c r="FJ33" s="139"/>
      <c r="FK33" s="139"/>
      <c r="FL33" s="139"/>
      <c r="FM33" s="139"/>
      <c r="FN33" s="139"/>
      <c r="FO33" s="139"/>
      <c r="FP33" s="139"/>
      <c r="FQ33" s="139"/>
      <c r="FR33" s="139"/>
      <c r="FS33" s="139"/>
      <c r="FT33" s="139"/>
      <c r="FU33" s="139"/>
      <c r="FV33" s="139"/>
      <c r="FW33" s="139"/>
      <c r="FX33" s="139"/>
      <c r="FY33" s="139"/>
      <c r="FZ33" s="139"/>
      <c r="GA33" s="139"/>
      <c r="GB33" s="139"/>
      <c r="GC33" s="139"/>
      <c r="GD33" s="139"/>
      <c r="GE33" s="139"/>
      <c r="GF33" s="139"/>
      <c r="GG33" s="139"/>
      <c r="GH33" s="139"/>
      <c r="GI33" s="139"/>
      <c r="GJ33" s="139"/>
      <c r="GK33" s="139"/>
      <c r="GL33" s="139"/>
      <c r="GM33" s="139"/>
      <c r="GN33" s="139"/>
      <c r="GO33" s="139"/>
      <c r="GP33" s="139"/>
      <c r="GQ33" s="139"/>
      <c r="GR33" s="139"/>
      <c r="GS33" s="139"/>
      <c r="GT33" s="139"/>
      <c r="GU33" s="139"/>
      <c r="GV33" s="139"/>
      <c r="GW33" s="139"/>
      <c r="GX33" s="139"/>
      <c r="GY33" s="139"/>
      <c r="GZ33" s="139"/>
      <c r="HA33" s="139"/>
      <c r="HB33" s="139"/>
      <c r="HC33" s="139"/>
      <c r="HD33" s="139"/>
      <c r="HE33" s="139"/>
      <c r="HF33" s="139"/>
      <c r="HG33" s="139"/>
      <c r="HH33" s="139"/>
      <c r="HI33" s="139"/>
      <c r="HJ33" s="139"/>
      <c r="HK33" s="139"/>
      <c r="HL33" s="139"/>
      <c r="HM33" s="139"/>
      <c r="HN33" s="139"/>
      <c r="HO33" s="139"/>
      <c r="HP33" s="139"/>
      <c r="HQ33" s="139"/>
      <c r="HR33" s="139"/>
      <c r="HS33" s="139"/>
      <c r="HT33" s="139"/>
      <c r="HU33" s="139"/>
      <c r="HV33" s="139"/>
      <c r="HW33" s="139"/>
      <c r="HX33" s="139"/>
      <c r="HY33" s="139"/>
      <c r="HZ33" s="139"/>
      <c r="IA33" s="139"/>
      <c r="IB33" s="139"/>
      <c r="IC33" s="139"/>
      <c r="ID33" s="139"/>
      <c r="IE33" s="139"/>
      <c r="IF33" s="139"/>
      <c r="IG33" s="139"/>
      <c r="IH33" s="139"/>
      <c r="II33" s="139"/>
      <c r="IJ33" s="139"/>
      <c r="IK33" s="139"/>
      <c r="IL33" s="139"/>
      <c r="IM33" s="139"/>
      <c r="IN33" s="139"/>
      <c r="IO33" s="139"/>
      <c r="IP33" s="139"/>
      <c r="IQ33" s="139"/>
      <c r="IR33" s="139"/>
      <c r="IS33" s="139"/>
      <c r="IT33" s="139"/>
      <c r="IU33" s="139"/>
      <c r="IV33" s="139"/>
      <c r="IW33" s="139"/>
      <c r="IX33" s="139"/>
      <c r="IY33" s="139"/>
      <c r="IZ33" s="139"/>
      <c r="JA33" s="139"/>
      <c r="JB33" s="139"/>
      <c r="JC33" s="139"/>
      <c r="JD33" s="139"/>
      <c r="JE33" s="139"/>
      <c r="JF33" s="139"/>
      <c r="JG33" s="139"/>
      <c r="JH33" s="139"/>
      <c r="JI33" s="139"/>
      <c r="JJ33" s="139"/>
      <c r="JK33" s="139"/>
      <c r="JL33" s="139"/>
      <c r="JM33" s="139"/>
      <c r="JN33" s="139"/>
      <c r="JO33" s="139"/>
      <c r="JP33" s="139"/>
      <c r="JQ33" s="139"/>
      <c r="JR33" s="139"/>
      <c r="JS33" s="139"/>
      <c r="JT33" s="139"/>
      <c r="JU33" s="139"/>
      <c r="JV33" s="139"/>
      <c r="JW33" s="139"/>
      <c r="JX33" s="139"/>
      <c r="JY33" s="139"/>
      <c r="JZ33" s="139"/>
      <c r="KA33" s="139"/>
      <c r="KB33" s="139"/>
      <c r="KC33" s="139"/>
      <c r="KD33" s="139"/>
      <c r="KE33" s="139"/>
      <c r="KF33" s="139"/>
      <c r="KG33" s="139"/>
      <c r="KH33" s="139"/>
      <c r="KI33" s="139"/>
      <c r="KJ33" s="139"/>
      <c r="KK33" s="139"/>
      <c r="KL33" s="139"/>
      <c r="KM33" s="139"/>
      <c r="KN33" s="139"/>
      <c r="KO33" s="139"/>
      <c r="KP33" s="139"/>
      <c r="KQ33" s="139"/>
      <c r="KR33" s="139"/>
      <c r="KS33" s="139"/>
      <c r="KT33" s="139"/>
      <c r="KU33" s="139"/>
      <c r="KV33" s="139"/>
      <c r="KW33" s="139"/>
      <c r="KX33" s="139"/>
      <c r="KY33" s="139"/>
      <c r="KZ33" s="139"/>
      <c r="LA33" s="139"/>
      <c r="LB33" s="139"/>
      <c r="LC33" s="139"/>
      <c r="LD33" s="139"/>
      <c r="LE33" s="139"/>
      <c r="LF33" s="139"/>
      <c r="LG33" s="139"/>
      <c r="LH33" s="139"/>
      <c r="LI33" s="139"/>
      <c r="LJ33" s="139"/>
      <c r="LK33" s="139"/>
      <c r="LL33" s="139"/>
      <c r="LM33" s="139"/>
      <c r="LN33" s="139"/>
      <c r="LO33" s="139"/>
      <c r="LP33" s="139"/>
      <c r="LQ33" s="139"/>
      <c r="LR33" s="139"/>
      <c r="LS33" s="139"/>
      <c r="LT33" s="139"/>
      <c r="LU33" s="139"/>
      <c r="LV33" s="139"/>
      <c r="LW33" s="139"/>
      <c r="LX33" s="139"/>
      <c r="LY33" s="139"/>
      <c r="LZ33" s="139"/>
      <c r="MA33" s="139"/>
      <c r="MB33" s="139"/>
      <c r="MC33" s="139"/>
      <c r="MD33" s="139"/>
      <c r="ME33" s="139"/>
      <c r="MF33" s="139"/>
      <c r="MG33" s="139"/>
      <c r="MH33" s="139"/>
      <c r="MI33" s="139"/>
      <c r="MJ33" s="139"/>
      <c r="MK33" s="139"/>
      <c r="ML33" s="139"/>
      <c r="MM33" s="139"/>
      <c r="MN33" s="139"/>
      <c r="MO33" s="139"/>
      <c r="MP33" s="139"/>
      <c r="MQ33" s="139"/>
      <c r="MR33" s="139"/>
      <c r="MS33" s="139"/>
      <c r="MT33" s="139"/>
      <c r="MU33" s="139"/>
      <c r="MV33" s="139"/>
      <c r="MW33" s="139"/>
      <c r="MX33" s="139"/>
      <c r="MY33" s="139"/>
      <c r="MZ33" s="139"/>
      <c r="NA33" s="139"/>
      <c r="NB33" s="139"/>
      <c r="NC33" s="139"/>
      <c r="ND33" s="139"/>
      <c r="NE33" s="139"/>
      <c r="NF33" s="139"/>
      <c r="NG33" s="139"/>
      <c r="NH33" s="139"/>
      <c r="NI33" s="139"/>
      <c r="NJ33" s="139"/>
      <c r="NK33" s="139"/>
      <c r="NL33" s="139"/>
      <c r="NM33" s="139"/>
      <c r="NN33" s="139"/>
      <c r="NO33" s="139"/>
      <c r="NP33" s="139"/>
      <c r="NQ33" s="139"/>
      <c r="NR33" s="139"/>
      <c r="NS33" s="139"/>
      <c r="NT33" s="139"/>
      <c r="NU33" s="139"/>
      <c r="NV33" s="139"/>
      <c r="NW33" s="139"/>
      <c r="NX33" s="139"/>
      <c r="NY33" s="139"/>
      <c r="NZ33" s="139"/>
      <c r="OA33" s="139"/>
      <c r="OB33" s="139"/>
      <c r="OC33" s="139"/>
      <c r="OD33" s="139"/>
      <c r="OE33" s="139"/>
      <c r="OF33" s="139"/>
      <c r="OG33" s="139"/>
      <c r="OH33" s="139"/>
      <c r="OI33" s="139"/>
      <c r="OJ33" s="139"/>
      <c r="OK33" s="139"/>
      <c r="OL33" s="139"/>
      <c r="OM33" s="139"/>
      <c r="ON33" s="139"/>
      <c r="OO33" s="139"/>
      <c r="OP33" s="139"/>
      <c r="OQ33" s="139"/>
      <c r="OR33" s="139"/>
      <c r="OS33" s="139"/>
      <c r="OT33" s="139"/>
      <c r="OU33" s="139"/>
      <c r="OV33" s="139"/>
      <c r="OW33" s="139"/>
      <c r="OX33" s="139"/>
      <c r="OY33" s="139"/>
      <c r="OZ33" s="139"/>
      <c r="PA33" s="139"/>
      <c r="PB33" s="139"/>
      <c r="PC33" s="139"/>
      <c r="PD33" s="139"/>
      <c r="PE33" s="139"/>
      <c r="PF33" s="139"/>
      <c r="PG33" s="139"/>
      <c r="PH33" s="139"/>
      <c r="PI33" s="139"/>
      <c r="PJ33" s="139"/>
      <c r="PK33" s="139"/>
      <c r="PL33" s="139"/>
      <c r="PM33" s="139"/>
      <c r="PN33" s="139"/>
      <c r="PO33" s="139"/>
      <c r="PP33" s="139"/>
      <c r="PQ33" s="139"/>
      <c r="PR33" s="139"/>
      <c r="PS33" s="139"/>
      <c r="PT33" s="139"/>
      <c r="PU33" s="139"/>
      <c r="PV33" s="139"/>
      <c r="PW33" s="139"/>
      <c r="PX33" s="139"/>
      <c r="PY33" s="139"/>
      <c r="PZ33" s="139"/>
      <c r="QA33" s="139"/>
      <c r="QB33" s="139"/>
      <c r="QC33" s="139"/>
      <c r="QD33" s="139"/>
      <c r="QE33" s="139"/>
      <c r="QF33" s="139"/>
      <c r="QG33" s="139"/>
      <c r="QH33" s="139"/>
      <c r="QI33" s="139"/>
      <c r="QJ33" s="139"/>
      <c r="QK33" s="139"/>
      <c r="QL33" s="139"/>
      <c r="QM33" s="139"/>
      <c r="QN33" s="139"/>
      <c r="QO33" s="139"/>
      <c r="QP33" s="139"/>
      <c r="QQ33" s="139"/>
      <c r="QR33" s="139"/>
      <c r="QS33" s="139"/>
      <c r="QT33" s="139"/>
      <c r="QU33" s="139"/>
      <c r="QV33" s="139"/>
      <c r="QW33" s="139"/>
      <c r="QX33" s="139"/>
      <c r="QY33" s="139"/>
      <c r="QZ33" s="139"/>
      <c r="RA33" s="139"/>
      <c r="RB33" s="139"/>
      <c r="RC33" s="139"/>
      <c r="RD33" s="139"/>
      <c r="RE33" s="139"/>
      <c r="RF33" s="139"/>
      <c r="RG33" s="139"/>
      <c r="RH33" s="139"/>
      <c r="RI33" s="139"/>
      <c r="RJ33" s="139"/>
      <c r="RK33" s="139"/>
      <c r="RL33" s="139"/>
      <c r="RM33" s="139"/>
      <c r="RN33" s="139"/>
      <c r="RO33" s="139"/>
      <c r="RP33" s="139"/>
      <c r="RQ33" s="139"/>
      <c r="RR33" s="139"/>
      <c r="RS33" s="139"/>
      <c r="RT33" s="139"/>
      <c r="RU33" s="139"/>
      <c r="RV33" s="139"/>
      <c r="RW33" s="139"/>
      <c r="RX33" s="139"/>
      <c r="RY33" s="139"/>
      <c r="RZ33" s="139"/>
      <c r="SA33" s="139"/>
      <c r="SB33" s="139"/>
      <c r="SC33" s="139"/>
      <c r="SD33" s="139"/>
      <c r="SE33" s="139"/>
      <c r="SF33" s="139"/>
      <c r="SG33" s="139"/>
      <c r="SH33" s="139"/>
      <c r="SI33" s="139"/>
      <c r="SJ33" s="139"/>
      <c r="SK33" s="139"/>
      <c r="SL33" s="139"/>
      <c r="SM33" s="139"/>
      <c r="SN33" s="139"/>
      <c r="SO33" s="139"/>
      <c r="SP33" s="139"/>
      <c r="SQ33" s="139"/>
      <c r="SR33" s="139"/>
      <c r="SS33" s="139"/>
      <c r="ST33" s="139"/>
      <c r="SU33" s="139"/>
      <c r="SV33" s="139"/>
      <c r="SW33" s="139"/>
      <c r="SX33" s="139"/>
      <c r="SY33" s="139"/>
      <c r="SZ33" s="139"/>
      <c r="TA33" s="139"/>
      <c r="TB33" s="139"/>
      <c r="TC33" s="139"/>
      <c r="TD33" s="139"/>
      <c r="TE33" s="139"/>
      <c r="TF33" s="139"/>
      <c r="TG33" s="139"/>
      <c r="TH33" s="139"/>
      <c r="TI33" s="139"/>
      <c r="TJ33" s="139"/>
      <c r="TK33" s="139"/>
      <c r="TL33" s="139"/>
      <c r="TM33" s="139"/>
      <c r="TN33" s="139"/>
      <c r="TO33" s="139"/>
      <c r="TP33" s="139"/>
      <c r="TQ33" s="139"/>
      <c r="TR33" s="139"/>
      <c r="TS33" s="139"/>
      <c r="TT33" s="139"/>
      <c r="TU33" s="139"/>
      <c r="TV33" s="139"/>
      <c r="TW33" s="139"/>
      <c r="TX33" s="139"/>
      <c r="TY33" s="139"/>
      <c r="TZ33" s="139"/>
      <c r="UA33" s="139"/>
      <c r="UB33" s="139"/>
      <c r="UC33" s="139"/>
      <c r="UD33" s="139"/>
      <c r="UE33" s="139"/>
      <c r="UF33" s="139"/>
      <c r="UG33" s="139"/>
      <c r="UH33" s="139"/>
      <c r="UI33" s="139"/>
      <c r="UJ33" s="139"/>
      <c r="UK33" s="139"/>
      <c r="UL33" s="139"/>
      <c r="UM33" s="139"/>
      <c r="UN33" s="139"/>
      <c r="UO33" s="139"/>
      <c r="UP33" s="139"/>
      <c r="UQ33" s="139"/>
      <c r="UR33" s="139"/>
      <c r="US33" s="139"/>
      <c r="UT33" s="139"/>
      <c r="UU33" s="139"/>
      <c r="UV33" s="139"/>
      <c r="UW33" s="139"/>
      <c r="UX33" s="139"/>
      <c r="UY33" s="139"/>
      <c r="UZ33" s="139"/>
      <c r="VA33" s="139"/>
      <c r="VB33" s="139"/>
      <c r="VC33" s="139"/>
      <c r="VD33" s="139"/>
      <c r="VE33" s="139"/>
      <c r="VF33" s="139"/>
      <c r="VG33" s="139"/>
      <c r="VH33" s="139"/>
      <c r="VI33" s="139"/>
      <c r="VJ33" s="139"/>
      <c r="VK33" s="139"/>
      <c r="VL33" s="139"/>
      <c r="VM33" s="139"/>
      <c r="VN33" s="139"/>
      <c r="VO33" s="139"/>
      <c r="VP33" s="139"/>
      <c r="VQ33" s="139"/>
      <c r="VR33" s="139"/>
      <c r="VS33" s="139"/>
      <c r="VT33" s="139"/>
      <c r="VU33" s="139"/>
      <c r="VV33" s="139"/>
      <c r="VW33" s="139"/>
      <c r="VX33" s="139"/>
      <c r="VY33" s="139"/>
      <c r="VZ33" s="139"/>
      <c r="WA33" s="139"/>
      <c r="WB33" s="139"/>
      <c r="WC33" s="139"/>
      <c r="WD33" s="139"/>
      <c r="WE33" s="139"/>
      <c r="WF33" s="139"/>
      <c r="WG33" s="139"/>
      <c r="WH33" s="139"/>
      <c r="WI33" s="139"/>
      <c r="WJ33" s="139"/>
      <c r="WK33" s="139"/>
      <c r="WL33" s="139"/>
      <c r="WM33" s="139"/>
      <c r="WN33" s="139"/>
      <c r="WO33" s="139"/>
      <c r="WP33" s="139"/>
      <c r="WQ33" s="139"/>
      <c r="WR33" s="139"/>
      <c r="WS33" s="139"/>
      <c r="WT33" s="139"/>
      <c r="WU33" s="139"/>
      <c r="WV33" s="139"/>
      <c r="WW33" s="139"/>
      <c r="WX33" s="139"/>
      <c r="WY33" s="139"/>
      <c r="WZ33" s="139"/>
      <c r="XA33" s="139"/>
      <c r="XB33" s="139"/>
      <c r="XC33" s="139"/>
      <c r="XD33" s="139"/>
      <c r="XE33" s="139"/>
      <c r="XF33" s="139"/>
      <c r="XG33" s="139"/>
      <c r="XH33" s="139"/>
      <c r="XI33" s="139"/>
      <c r="XJ33" s="139"/>
      <c r="XK33" s="139"/>
      <c r="XL33" s="139"/>
      <c r="XM33" s="139"/>
      <c r="XN33" s="139"/>
      <c r="XO33" s="139"/>
      <c r="XP33" s="139"/>
      <c r="XQ33" s="139"/>
      <c r="XR33" s="139"/>
      <c r="XS33" s="139"/>
      <c r="XT33" s="139"/>
      <c r="XU33" s="139"/>
      <c r="XV33" s="139"/>
      <c r="XW33" s="139"/>
      <c r="XX33" s="139"/>
      <c r="XY33" s="139"/>
      <c r="XZ33" s="139"/>
      <c r="YA33" s="139"/>
      <c r="YB33" s="139"/>
      <c r="YC33" s="139"/>
      <c r="YD33" s="139"/>
      <c r="YE33" s="139"/>
      <c r="YF33" s="139"/>
      <c r="YG33" s="139"/>
      <c r="YH33" s="139"/>
      <c r="YI33" s="139"/>
      <c r="YJ33" s="139"/>
      <c r="YK33" s="139"/>
      <c r="YL33" s="139"/>
      <c r="YM33" s="139"/>
      <c r="YN33" s="139"/>
      <c r="YO33" s="139"/>
      <c r="YP33" s="139"/>
      <c r="YQ33" s="139"/>
      <c r="YR33" s="139"/>
      <c r="YS33" s="139"/>
      <c r="YT33" s="139"/>
      <c r="YU33" s="139"/>
      <c r="YV33" s="139"/>
      <c r="YW33" s="139"/>
      <c r="YX33" s="139"/>
      <c r="YY33" s="139"/>
      <c r="YZ33" s="139"/>
      <c r="ZA33" s="139"/>
      <c r="ZB33" s="139"/>
      <c r="ZC33" s="139"/>
      <c r="ZD33" s="139"/>
      <c r="ZE33" s="139"/>
      <c r="ZF33" s="139"/>
      <c r="ZG33" s="139"/>
      <c r="ZH33" s="139"/>
      <c r="ZI33" s="139"/>
      <c r="ZJ33" s="139"/>
      <c r="ZK33" s="139"/>
      <c r="ZL33" s="139"/>
      <c r="ZM33" s="139"/>
      <c r="ZN33" s="139"/>
      <c r="ZO33" s="139"/>
      <c r="ZP33" s="139"/>
      <c r="ZQ33" s="139"/>
      <c r="ZR33" s="139"/>
      <c r="ZS33" s="139"/>
      <c r="ZT33" s="139"/>
      <c r="ZU33" s="139"/>
      <c r="ZV33" s="139"/>
      <c r="ZW33" s="139"/>
      <c r="ZX33" s="139"/>
      <c r="ZY33" s="139"/>
      <c r="ZZ33" s="139"/>
      <c r="AAA33" s="139"/>
      <c r="AAB33" s="139"/>
      <c r="AAC33" s="139"/>
      <c r="AAD33" s="139"/>
      <c r="AAE33" s="139"/>
      <c r="AAF33" s="139"/>
      <c r="AAG33" s="139"/>
      <c r="AAH33" s="139"/>
      <c r="AAI33" s="139"/>
      <c r="AAJ33" s="139"/>
      <c r="AAK33" s="139"/>
      <c r="AAL33" s="139"/>
      <c r="AAM33" s="139"/>
      <c r="AAN33" s="139"/>
      <c r="AAO33" s="139"/>
      <c r="AAP33" s="139"/>
      <c r="AAQ33" s="139"/>
      <c r="AAR33" s="139"/>
      <c r="AAS33" s="139"/>
      <c r="AAT33" s="139"/>
      <c r="AAU33" s="139"/>
      <c r="AAV33" s="139"/>
      <c r="AAW33" s="139"/>
      <c r="AAX33" s="139"/>
      <c r="AAY33" s="139"/>
      <c r="AAZ33" s="139"/>
      <c r="ABA33" s="139"/>
      <c r="ABB33" s="139"/>
      <c r="ABC33" s="139"/>
      <c r="ABD33" s="139"/>
      <c r="ABE33" s="139"/>
      <c r="ABF33" s="139"/>
      <c r="ABG33" s="139"/>
      <c r="ABH33" s="139"/>
      <c r="ABI33" s="139"/>
      <c r="ABJ33" s="139"/>
      <c r="ABK33" s="139"/>
      <c r="ABL33" s="139"/>
      <c r="ABM33" s="139"/>
      <c r="ABN33" s="139"/>
      <c r="ABO33" s="139"/>
      <c r="ABP33" s="139"/>
      <c r="ABQ33" s="139"/>
      <c r="ABR33" s="139"/>
      <c r="ABS33" s="139"/>
      <c r="ABT33" s="139"/>
      <c r="ABU33" s="139"/>
      <c r="ABV33" s="139"/>
      <c r="ABW33" s="139"/>
      <c r="ABX33" s="139"/>
      <c r="ABY33" s="139"/>
      <c r="ABZ33" s="139"/>
      <c r="ACA33" s="139"/>
      <c r="ACB33" s="139"/>
      <c r="ACC33" s="139"/>
      <c r="ACD33" s="139"/>
      <c r="ACE33" s="139"/>
      <c r="ACF33" s="139"/>
      <c r="ACG33" s="139"/>
      <c r="ACH33" s="139"/>
      <c r="ACI33" s="139"/>
      <c r="ACJ33" s="139"/>
      <c r="ACK33" s="139"/>
      <c r="ACL33" s="139"/>
      <c r="ACM33" s="139"/>
      <c r="ACN33" s="139"/>
      <c r="ACO33" s="139"/>
      <c r="ACP33" s="139"/>
      <c r="ACQ33" s="139"/>
      <c r="ACR33" s="139"/>
      <c r="ACS33" s="139"/>
      <c r="ACT33" s="139"/>
      <c r="ACU33" s="139"/>
      <c r="ACV33" s="139"/>
      <c r="ACW33" s="139"/>
      <c r="ACX33" s="139"/>
      <c r="ACY33" s="139"/>
      <c r="ACZ33" s="139"/>
      <c r="ADA33" s="139"/>
      <c r="ADB33" s="139"/>
      <c r="ADC33" s="139"/>
      <c r="ADD33" s="139"/>
      <c r="ADE33" s="139"/>
      <c r="ADF33" s="139"/>
      <c r="ADG33" s="139"/>
      <c r="ADH33" s="139"/>
      <c r="ADI33" s="139"/>
      <c r="ADJ33" s="139"/>
      <c r="ADK33" s="139"/>
      <c r="ADL33" s="139"/>
      <c r="ADM33" s="139"/>
      <c r="ADN33" s="139"/>
      <c r="ADO33" s="139"/>
      <c r="ADP33" s="139"/>
      <c r="ADQ33" s="139"/>
      <c r="ADR33" s="139"/>
      <c r="ADS33" s="139"/>
      <c r="ADT33" s="139"/>
      <c r="ADU33" s="139"/>
      <c r="ADV33" s="139"/>
      <c r="ADW33" s="139"/>
      <c r="ADX33" s="139"/>
      <c r="ADY33" s="139"/>
      <c r="ADZ33" s="139"/>
      <c r="AEA33" s="139"/>
      <c r="AEB33" s="139"/>
      <c r="AEC33" s="139"/>
      <c r="AED33" s="139"/>
      <c r="AEE33" s="139"/>
      <c r="AEF33" s="139"/>
      <c r="AEG33" s="139"/>
      <c r="AEH33" s="139"/>
      <c r="AEI33" s="139"/>
      <c r="AEJ33" s="139"/>
      <c r="AEK33" s="139"/>
      <c r="AEL33" s="139"/>
      <c r="AEM33" s="139"/>
      <c r="AEN33" s="139"/>
      <c r="AEO33" s="139"/>
      <c r="AEP33" s="139"/>
      <c r="AEQ33" s="139"/>
      <c r="AER33" s="139"/>
      <c r="AES33" s="139"/>
      <c r="AET33" s="139"/>
      <c r="AEU33" s="139"/>
      <c r="AEV33" s="139"/>
      <c r="AEW33" s="139"/>
      <c r="AEX33" s="139"/>
      <c r="AEY33" s="139"/>
      <c r="AEZ33" s="139"/>
      <c r="AFA33" s="139"/>
      <c r="AFB33" s="139"/>
      <c r="AFC33" s="139"/>
      <c r="AFD33" s="139"/>
      <c r="AFE33" s="139"/>
      <c r="AFF33" s="139"/>
      <c r="AFG33" s="139"/>
      <c r="AFH33" s="139"/>
      <c r="AFI33" s="139"/>
      <c r="AFJ33" s="139"/>
      <c r="AFK33" s="139"/>
      <c r="AFL33" s="139"/>
      <c r="AFM33" s="139"/>
      <c r="AFN33" s="139"/>
      <c r="AFO33" s="139"/>
      <c r="AFP33" s="139"/>
      <c r="AFQ33" s="139"/>
      <c r="AFR33" s="139"/>
      <c r="AFS33" s="139"/>
      <c r="AFT33" s="139"/>
      <c r="AFU33" s="139"/>
      <c r="AFV33" s="139"/>
      <c r="AFW33" s="139"/>
      <c r="AFX33" s="139"/>
      <c r="AFY33" s="139"/>
      <c r="AFZ33" s="139"/>
      <c r="AGA33" s="139"/>
      <c r="AGB33" s="139"/>
      <c r="AGC33" s="139"/>
      <c r="AGD33" s="139"/>
      <c r="AGE33" s="139"/>
      <c r="AGF33" s="139"/>
      <c r="AGG33" s="139"/>
      <c r="AGH33" s="139"/>
      <c r="AGI33" s="139"/>
      <c r="AGJ33" s="139"/>
      <c r="AGK33" s="139"/>
      <c r="AGL33" s="139"/>
      <c r="AGM33" s="139"/>
      <c r="AGN33" s="139"/>
      <c r="AGO33" s="139"/>
      <c r="AGP33" s="139"/>
      <c r="AGQ33" s="139"/>
      <c r="AGR33" s="139"/>
      <c r="AGS33" s="139"/>
      <c r="AGT33" s="139"/>
      <c r="AGU33" s="139"/>
      <c r="AGV33" s="139"/>
      <c r="AGW33" s="139"/>
      <c r="AGX33" s="139"/>
      <c r="AGY33" s="139"/>
      <c r="AGZ33" s="139"/>
      <c r="AHA33" s="139"/>
      <c r="AHB33" s="139"/>
      <c r="AHC33" s="139"/>
      <c r="AHD33" s="139"/>
      <c r="AHE33" s="139"/>
      <c r="AHF33" s="139"/>
      <c r="AHG33" s="139"/>
      <c r="AHH33" s="139"/>
      <c r="AHI33" s="139"/>
      <c r="AHJ33" s="139"/>
      <c r="AHK33" s="139"/>
      <c r="AHL33" s="139"/>
      <c r="AHM33" s="139"/>
      <c r="AHN33" s="139"/>
      <c r="AHO33" s="139"/>
      <c r="AHP33" s="139"/>
      <c r="AHQ33" s="139"/>
      <c r="AHR33" s="139"/>
      <c r="AHS33" s="139"/>
      <c r="AHT33" s="139"/>
      <c r="AHU33" s="139"/>
      <c r="AHV33" s="139"/>
      <c r="AHW33" s="139"/>
      <c r="AHX33" s="139"/>
      <c r="AHY33" s="139"/>
      <c r="AHZ33" s="139"/>
      <c r="AIA33" s="139"/>
      <c r="AIB33" s="139"/>
      <c r="AIC33" s="139"/>
      <c r="AID33" s="139"/>
      <c r="AIE33" s="139"/>
      <c r="AIF33" s="139"/>
      <c r="AIG33" s="139"/>
      <c r="AIH33" s="139"/>
      <c r="AII33" s="139"/>
      <c r="AIJ33" s="139"/>
      <c r="AIK33" s="139"/>
      <c r="AIL33" s="139"/>
      <c r="AIM33" s="139"/>
      <c r="AIN33" s="139"/>
      <c r="AIO33" s="139"/>
      <c r="AIP33" s="139"/>
      <c r="AIQ33" s="139"/>
      <c r="AIR33" s="139"/>
      <c r="AIS33" s="139"/>
      <c r="AIT33" s="139"/>
      <c r="AIU33" s="139"/>
      <c r="AIV33" s="139"/>
      <c r="AIW33" s="139"/>
      <c r="AIX33" s="139"/>
      <c r="AIY33" s="139"/>
      <c r="AIZ33" s="139"/>
      <c r="AJA33" s="139"/>
      <c r="AJB33" s="139"/>
      <c r="AJC33" s="139"/>
      <c r="AJD33" s="139"/>
      <c r="AJE33" s="139"/>
      <c r="AJF33" s="139"/>
      <c r="AJG33" s="139"/>
      <c r="AJH33" s="139"/>
      <c r="AJI33" s="139"/>
      <c r="AJJ33" s="139"/>
      <c r="AJK33" s="139"/>
      <c r="AJL33" s="139"/>
      <c r="AJM33" s="139"/>
      <c r="AJN33" s="139"/>
      <c r="AJO33" s="139"/>
      <c r="AJP33" s="139"/>
      <c r="AJQ33" s="139"/>
      <c r="AJR33" s="139"/>
      <c r="AJS33" s="139"/>
      <c r="AJT33" s="139"/>
      <c r="AJU33" s="139"/>
      <c r="AJV33" s="139"/>
      <c r="AJW33" s="139"/>
      <c r="AJX33" s="139"/>
      <c r="AJY33" s="139"/>
      <c r="AJZ33" s="139"/>
      <c r="AKA33" s="139"/>
      <c r="AKB33" s="139"/>
      <c r="AKC33" s="139"/>
      <c r="AKD33" s="139"/>
      <c r="AKE33" s="139"/>
      <c r="AKF33" s="139"/>
      <c r="AKG33" s="139"/>
      <c r="AKH33" s="139"/>
      <c r="AKI33" s="139"/>
      <c r="AKJ33" s="139"/>
      <c r="AKK33" s="139"/>
      <c r="AKL33" s="139"/>
      <c r="AKM33" s="139"/>
      <c r="AKN33" s="139"/>
      <c r="AKO33" s="139"/>
      <c r="AKP33" s="139"/>
      <c r="AKQ33" s="139"/>
      <c r="AKR33" s="139"/>
      <c r="AKS33" s="139"/>
      <c r="AKT33" s="139"/>
      <c r="AKU33" s="139"/>
      <c r="AKV33" s="139"/>
      <c r="AKW33" s="139"/>
      <c r="AKX33" s="139"/>
      <c r="AKY33" s="139"/>
      <c r="AKZ33" s="139"/>
      <c r="ALA33" s="139"/>
      <c r="ALB33" s="139"/>
      <c r="ALC33" s="139"/>
      <c r="ALD33" s="139"/>
      <c r="ALE33" s="139"/>
      <c r="ALF33" s="139"/>
      <c r="ALG33" s="139"/>
      <c r="ALH33" s="139"/>
      <c r="ALI33" s="139"/>
      <c r="ALJ33" s="139"/>
      <c r="ALK33" s="139"/>
      <c r="ALL33" s="139"/>
      <c r="ALM33" s="139"/>
      <c r="ALN33" s="139"/>
      <c r="ALO33" s="139"/>
      <c r="ALP33" s="139"/>
      <c r="ALQ33" s="139"/>
      <c r="ALR33" s="139"/>
      <c r="ALS33" s="139"/>
      <c r="ALT33" s="139"/>
      <c r="ALU33" s="139"/>
      <c r="ALV33" s="139"/>
      <c r="ALW33" s="139"/>
      <c r="ALX33" s="139"/>
      <c r="ALY33" s="139"/>
      <c r="ALZ33" s="139"/>
      <c r="AMA33" s="139"/>
      <c r="AMB33" s="139"/>
      <c r="AMC33" s="139"/>
      <c r="AMD33" s="139"/>
      <c r="AME33" s="139"/>
      <c r="AMF33" s="139"/>
      <c r="AMG33" s="139"/>
      <c r="AMH33" s="139"/>
      <c r="AMI33" s="139"/>
      <c r="AMJ33" s="139"/>
    </row>
    <row r="34" spans="1:1024" s="140" customFormat="1" x14ac:dyDescent="0.25">
      <c r="A34" s="183" t="s">
        <v>28</v>
      </c>
      <c r="B34" s="184" t="str">
        <f t="shared" ref="B34:AK34" si="18">HEX2BIN(B33,4)</f>
        <v>0000</v>
      </c>
      <c r="C34" s="184" t="str">
        <f t="shared" si="18"/>
        <v>0000</v>
      </c>
      <c r="D34" s="184" t="str">
        <f t="shared" si="18"/>
        <v>1101</v>
      </c>
      <c r="E34" s="184" t="str">
        <f t="shared" si="18"/>
        <v>0000</v>
      </c>
      <c r="F34" s="184" t="str">
        <f t="shared" si="18"/>
        <v>1001</v>
      </c>
      <c r="G34" s="184" t="str">
        <f t="shared" si="18"/>
        <v>1000</v>
      </c>
      <c r="H34" s="184" t="str">
        <f t="shared" si="18"/>
        <v>1100</v>
      </c>
      <c r="I34" s="184" t="str">
        <f t="shared" si="18"/>
        <v>1011</v>
      </c>
      <c r="J34" s="184" t="str">
        <f t="shared" si="18"/>
        <v>1001</v>
      </c>
      <c r="K34" s="184" t="str">
        <f t="shared" si="18"/>
        <v>0001</v>
      </c>
      <c r="L34" s="184" t="str">
        <f t="shared" si="18"/>
        <v>0100</v>
      </c>
      <c r="M34" s="184" t="str">
        <f t="shared" si="18"/>
        <v>0000</v>
      </c>
      <c r="N34" s="184" t="str">
        <f t="shared" si="18"/>
        <v>0100</v>
      </c>
      <c r="O34" s="184" t="str">
        <f t="shared" si="18"/>
        <v>0000</v>
      </c>
      <c r="P34" s="184" t="str">
        <f t="shared" si="18"/>
        <v>0000</v>
      </c>
      <c r="Q34" s="184" t="str">
        <f t="shared" si="18"/>
        <v>0000</v>
      </c>
      <c r="R34" s="184" t="str">
        <f t="shared" si="18"/>
        <v>1000</v>
      </c>
      <c r="S34" s="184" t="str">
        <f t="shared" si="18"/>
        <v>0011</v>
      </c>
      <c r="T34" s="184" t="str">
        <f t="shared" si="18"/>
        <v>0110</v>
      </c>
      <c r="U34" s="184" t="str">
        <f t="shared" si="18"/>
        <v>0000</v>
      </c>
      <c r="V34" s="184" t="str">
        <f t="shared" si="18"/>
        <v>0000</v>
      </c>
      <c r="W34" s="184" t="str">
        <f t="shared" si="18"/>
        <v>0000</v>
      </c>
      <c r="X34" s="184" t="str">
        <f t="shared" si="18"/>
        <v>0000</v>
      </c>
      <c r="Y34" s="184" t="str">
        <f t="shared" si="18"/>
        <v>0000</v>
      </c>
      <c r="Z34" s="184" t="str">
        <f t="shared" si="18"/>
        <v>0000</v>
      </c>
      <c r="AA34" s="184" t="str">
        <f t="shared" si="18"/>
        <v>0000</v>
      </c>
      <c r="AB34" s="184" t="str">
        <f t="shared" si="18"/>
        <v>0000</v>
      </c>
      <c r="AC34" s="184" t="str">
        <f t="shared" si="18"/>
        <v>0000</v>
      </c>
      <c r="AD34" s="184" t="str">
        <f t="shared" si="18"/>
        <v>0000</v>
      </c>
      <c r="AE34" s="184" t="str">
        <f t="shared" si="18"/>
        <v>0000</v>
      </c>
      <c r="AF34" s="184" t="str">
        <f t="shared" si="18"/>
        <v>0000</v>
      </c>
      <c r="AG34" s="184" t="str">
        <f t="shared" si="18"/>
        <v>0000</v>
      </c>
      <c r="AH34" s="184" t="str">
        <f t="shared" si="18"/>
        <v>0000</v>
      </c>
      <c r="AI34" s="184" t="str">
        <f t="shared" si="18"/>
        <v>0000</v>
      </c>
      <c r="AJ34" s="184" t="str">
        <f t="shared" si="18"/>
        <v>0000</v>
      </c>
      <c r="AK34" s="184" t="str">
        <f t="shared" si="18"/>
        <v>0000</v>
      </c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39"/>
      <c r="EL34" s="139"/>
      <c r="EM34" s="139"/>
      <c r="EN34" s="139"/>
      <c r="EO34" s="139"/>
      <c r="EP34" s="139"/>
      <c r="EQ34" s="139"/>
      <c r="ER34" s="139"/>
      <c r="ES34" s="139"/>
      <c r="ET34" s="139"/>
      <c r="EU34" s="139"/>
      <c r="EV34" s="139"/>
      <c r="EW34" s="139"/>
      <c r="EX34" s="139"/>
      <c r="EY34" s="139"/>
      <c r="EZ34" s="139"/>
      <c r="FA34" s="139"/>
      <c r="FB34" s="139"/>
      <c r="FC34" s="139"/>
      <c r="FD34" s="139"/>
      <c r="FE34" s="139"/>
      <c r="FF34" s="139"/>
      <c r="FG34" s="139"/>
      <c r="FH34" s="139"/>
      <c r="FI34" s="139"/>
      <c r="FJ34" s="139"/>
      <c r="FK34" s="139"/>
      <c r="FL34" s="139"/>
      <c r="FM34" s="139"/>
      <c r="FN34" s="139"/>
      <c r="FO34" s="139"/>
      <c r="FP34" s="139"/>
      <c r="FQ34" s="139"/>
      <c r="FR34" s="139"/>
      <c r="FS34" s="139"/>
      <c r="FT34" s="139"/>
      <c r="FU34" s="139"/>
      <c r="FV34" s="139"/>
      <c r="FW34" s="139"/>
      <c r="FX34" s="139"/>
      <c r="FY34" s="139"/>
      <c r="FZ34" s="139"/>
      <c r="GA34" s="139"/>
      <c r="GB34" s="139"/>
      <c r="GC34" s="139"/>
      <c r="GD34" s="139"/>
      <c r="GE34" s="139"/>
      <c r="GF34" s="139"/>
      <c r="GG34" s="139"/>
      <c r="GH34" s="139"/>
      <c r="GI34" s="139"/>
      <c r="GJ34" s="139"/>
      <c r="GK34" s="139"/>
      <c r="GL34" s="139"/>
      <c r="GM34" s="139"/>
      <c r="GN34" s="139"/>
      <c r="GO34" s="139"/>
      <c r="GP34" s="139"/>
      <c r="GQ34" s="139"/>
      <c r="GR34" s="139"/>
      <c r="GS34" s="139"/>
      <c r="GT34" s="139"/>
      <c r="GU34" s="139"/>
      <c r="GV34" s="139"/>
      <c r="GW34" s="139"/>
      <c r="GX34" s="139"/>
      <c r="GY34" s="139"/>
      <c r="GZ34" s="139"/>
      <c r="HA34" s="139"/>
      <c r="HB34" s="139"/>
      <c r="HC34" s="139"/>
      <c r="HD34" s="139"/>
      <c r="HE34" s="139"/>
      <c r="HF34" s="139"/>
      <c r="HG34" s="139"/>
      <c r="HH34" s="139"/>
      <c r="HI34" s="139"/>
      <c r="HJ34" s="139"/>
      <c r="HK34" s="139"/>
      <c r="HL34" s="139"/>
      <c r="HM34" s="139"/>
      <c r="HN34" s="139"/>
      <c r="HO34" s="139"/>
      <c r="HP34" s="139"/>
      <c r="HQ34" s="139"/>
      <c r="HR34" s="139"/>
      <c r="HS34" s="139"/>
      <c r="HT34" s="139"/>
      <c r="HU34" s="139"/>
      <c r="HV34" s="139"/>
      <c r="HW34" s="139"/>
      <c r="HX34" s="139"/>
      <c r="HY34" s="139"/>
      <c r="HZ34" s="139"/>
      <c r="IA34" s="139"/>
      <c r="IB34" s="139"/>
      <c r="IC34" s="139"/>
      <c r="ID34" s="139"/>
      <c r="IE34" s="139"/>
      <c r="IF34" s="139"/>
      <c r="IG34" s="139"/>
      <c r="IH34" s="139"/>
      <c r="II34" s="139"/>
      <c r="IJ34" s="139"/>
      <c r="IK34" s="139"/>
      <c r="IL34" s="139"/>
      <c r="IM34" s="139"/>
      <c r="IN34" s="139"/>
      <c r="IO34" s="139"/>
      <c r="IP34" s="139"/>
      <c r="IQ34" s="139"/>
      <c r="IR34" s="139"/>
      <c r="IS34" s="139"/>
      <c r="IT34" s="139"/>
      <c r="IU34" s="139"/>
      <c r="IV34" s="139"/>
      <c r="IW34" s="139"/>
      <c r="IX34" s="139"/>
      <c r="IY34" s="139"/>
      <c r="IZ34" s="139"/>
      <c r="JA34" s="139"/>
      <c r="JB34" s="139"/>
      <c r="JC34" s="139"/>
      <c r="JD34" s="139"/>
      <c r="JE34" s="139"/>
      <c r="JF34" s="139"/>
      <c r="JG34" s="139"/>
      <c r="JH34" s="139"/>
      <c r="JI34" s="139"/>
      <c r="JJ34" s="139"/>
      <c r="JK34" s="139"/>
      <c r="JL34" s="139"/>
      <c r="JM34" s="139"/>
      <c r="JN34" s="139"/>
      <c r="JO34" s="139"/>
      <c r="JP34" s="139"/>
      <c r="JQ34" s="139"/>
      <c r="JR34" s="139"/>
      <c r="JS34" s="139"/>
      <c r="JT34" s="139"/>
      <c r="JU34" s="139"/>
      <c r="JV34" s="139"/>
      <c r="JW34" s="139"/>
      <c r="JX34" s="139"/>
      <c r="JY34" s="139"/>
      <c r="JZ34" s="139"/>
      <c r="KA34" s="139"/>
      <c r="KB34" s="139"/>
      <c r="KC34" s="139"/>
      <c r="KD34" s="139"/>
      <c r="KE34" s="139"/>
      <c r="KF34" s="139"/>
      <c r="KG34" s="139"/>
      <c r="KH34" s="139"/>
      <c r="KI34" s="139"/>
      <c r="KJ34" s="139"/>
      <c r="KK34" s="139"/>
      <c r="KL34" s="139"/>
      <c r="KM34" s="139"/>
      <c r="KN34" s="139"/>
      <c r="KO34" s="139"/>
      <c r="KP34" s="139"/>
      <c r="KQ34" s="139"/>
      <c r="KR34" s="139"/>
      <c r="KS34" s="139"/>
      <c r="KT34" s="139"/>
      <c r="KU34" s="139"/>
      <c r="KV34" s="139"/>
      <c r="KW34" s="139"/>
      <c r="KX34" s="139"/>
      <c r="KY34" s="139"/>
      <c r="KZ34" s="139"/>
      <c r="LA34" s="139"/>
      <c r="LB34" s="139"/>
      <c r="LC34" s="139"/>
      <c r="LD34" s="139"/>
      <c r="LE34" s="139"/>
      <c r="LF34" s="139"/>
      <c r="LG34" s="139"/>
      <c r="LH34" s="139"/>
      <c r="LI34" s="139"/>
      <c r="LJ34" s="139"/>
      <c r="LK34" s="139"/>
      <c r="LL34" s="139"/>
      <c r="LM34" s="139"/>
      <c r="LN34" s="139"/>
      <c r="LO34" s="139"/>
      <c r="LP34" s="139"/>
      <c r="LQ34" s="139"/>
      <c r="LR34" s="139"/>
      <c r="LS34" s="139"/>
      <c r="LT34" s="139"/>
      <c r="LU34" s="139"/>
      <c r="LV34" s="139"/>
      <c r="LW34" s="139"/>
      <c r="LX34" s="139"/>
      <c r="LY34" s="139"/>
      <c r="LZ34" s="139"/>
      <c r="MA34" s="139"/>
      <c r="MB34" s="139"/>
      <c r="MC34" s="139"/>
      <c r="MD34" s="139"/>
      <c r="ME34" s="139"/>
      <c r="MF34" s="139"/>
      <c r="MG34" s="139"/>
      <c r="MH34" s="139"/>
      <c r="MI34" s="139"/>
      <c r="MJ34" s="139"/>
      <c r="MK34" s="139"/>
      <c r="ML34" s="139"/>
      <c r="MM34" s="139"/>
      <c r="MN34" s="139"/>
      <c r="MO34" s="139"/>
      <c r="MP34" s="139"/>
      <c r="MQ34" s="139"/>
      <c r="MR34" s="139"/>
      <c r="MS34" s="139"/>
      <c r="MT34" s="139"/>
      <c r="MU34" s="139"/>
      <c r="MV34" s="139"/>
      <c r="MW34" s="139"/>
      <c r="MX34" s="139"/>
      <c r="MY34" s="139"/>
      <c r="MZ34" s="139"/>
      <c r="NA34" s="139"/>
      <c r="NB34" s="139"/>
      <c r="NC34" s="139"/>
      <c r="ND34" s="139"/>
      <c r="NE34" s="139"/>
      <c r="NF34" s="139"/>
      <c r="NG34" s="139"/>
      <c r="NH34" s="139"/>
      <c r="NI34" s="139"/>
      <c r="NJ34" s="139"/>
      <c r="NK34" s="139"/>
      <c r="NL34" s="139"/>
      <c r="NM34" s="139"/>
      <c r="NN34" s="139"/>
      <c r="NO34" s="139"/>
      <c r="NP34" s="139"/>
      <c r="NQ34" s="139"/>
      <c r="NR34" s="139"/>
      <c r="NS34" s="139"/>
      <c r="NT34" s="139"/>
      <c r="NU34" s="139"/>
      <c r="NV34" s="139"/>
      <c r="NW34" s="139"/>
      <c r="NX34" s="139"/>
      <c r="NY34" s="139"/>
      <c r="NZ34" s="139"/>
      <c r="OA34" s="139"/>
      <c r="OB34" s="139"/>
      <c r="OC34" s="139"/>
      <c r="OD34" s="139"/>
      <c r="OE34" s="139"/>
      <c r="OF34" s="139"/>
      <c r="OG34" s="139"/>
      <c r="OH34" s="139"/>
      <c r="OI34" s="139"/>
      <c r="OJ34" s="139"/>
      <c r="OK34" s="139"/>
      <c r="OL34" s="139"/>
      <c r="OM34" s="139"/>
      <c r="ON34" s="139"/>
      <c r="OO34" s="139"/>
      <c r="OP34" s="139"/>
      <c r="OQ34" s="139"/>
      <c r="OR34" s="139"/>
      <c r="OS34" s="139"/>
      <c r="OT34" s="139"/>
      <c r="OU34" s="139"/>
      <c r="OV34" s="139"/>
      <c r="OW34" s="139"/>
      <c r="OX34" s="139"/>
      <c r="OY34" s="139"/>
      <c r="OZ34" s="139"/>
      <c r="PA34" s="139"/>
      <c r="PB34" s="139"/>
      <c r="PC34" s="139"/>
      <c r="PD34" s="139"/>
      <c r="PE34" s="139"/>
      <c r="PF34" s="139"/>
      <c r="PG34" s="139"/>
      <c r="PH34" s="139"/>
      <c r="PI34" s="139"/>
      <c r="PJ34" s="139"/>
      <c r="PK34" s="139"/>
      <c r="PL34" s="139"/>
      <c r="PM34" s="139"/>
      <c r="PN34" s="139"/>
      <c r="PO34" s="139"/>
      <c r="PP34" s="139"/>
      <c r="PQ34" s="139"/>
      <c r="PR34" s="139"/>
      <c r="PS34" s="139"/>
      <c r="PT34" s="139"/>
      <c r="PU34" s="139"/>
      <c r="PV34" s="139"/>
      <c r="PW34" s="139"/>
      <c r="PX34" s="139"/>
      <c r="PY34" s="139"/>
      <c r="PZ34" s="139"/>
      <c r="QA34" s="139"/>
      <c r="QB34" s="139"/>
      <c r="QC34" s="139"/>
      <c r="QD34" s="139"/>
      <c r="QE34" s="139"/>
      <c r="QF34" s="139"/>
      <c r="QG34" s="139"/>
      <c r="QH34" s="139"/>
      <c r="QI34" s="139"/>
      <c r="QJ34" s="139"/>
      <c r="QK34" s="139"/>
      <c r="QL34" s="139"/>
      <c r="QM34" s="139"/>
      <c r="QN34" s="139"/>
      <c r="QO34" s="139"/>
      <c r="QP34" s="139"/>
      <c r="QQ34" s="139"/>
      <c r="QR34" s="139"/>
      <c r="QS34" s="139"/>
      <c r="QT34" s="139"/>
      <c r="QU34" s="139"/>
      <c r="QV34" s="139"/>
      <c r="QW34" s="139"/>
      <c r="QX34" s="139"/>
      <c r="QY34" s="139"/>
      <c r="QZ34" s="139"/>
      <c r="RA34" s="139"/>
      <c r="RB34" s="139"/>
      <c r="RC34" s="139"/>
      <c r="RD34" s="139"/>
      <c r="RE34" s="139"/>
      <c r="RF34" s="139"/>
      <c r="RG34" s="139"/>
      <c r="RH34" s="139"/>
      <c r="RI34" s="139"/>
      <c r="RJ34" s="139"/>
      <c r="RK34" s="139"/>
      <c r="RL34" s="139"/>
      <c r="RM34" s="139"/>
      <c r="RN34" s="139"/>
      <c r="RO34" s="139"/>
      <c r="RP34" s="139"/>
      <c r="RQ34" s="139"/>
      <c r="RR34" s="139"/>
      <c r="RS34" s="139"/>
      <c r="RT34" s="139"/>
      <c r="RU34" s="139"/>
      <c r="RV34" s="139"/>
      <c r="RW34" s="139"/>
      <c r="RX34" s="139"/>
      <c r="RY34" s="139"/>
      <c r="RZ34" s="139"/>
      <c r="SA34" s="139"/>
      <c r="SB34" s="139"/>
      <c r="SC34" s="139"/>
      <c r="SD34" s="139"/>
      <c r="SE34" s="139"/>
      <c r="SF34" s="139"/>
      <c r="SG34" s="139"/>
      <c r="SH34" s="139"/>
      <c r="SI34" s="139"/>
      <c r="SJ34" s="139"/>
      <c r="SK34" s="139"/>
      <c r="SL34" s="139"/>
      <c r="SM34" s="139"/>
      <c r="SN34" s="139"/>
      <c r="SO34" s="139"/>
      <c r="SP34" s="139"/>
      <c r="SQ34" s="139"/>
      <c r="SR34" s="139"/>
      <c r="SS34" s="139"/>
      <c r="ST34" s="139"/>
      <c r="SU34" s="139"/>
      <c r="SV34" s="139"/>
      <c r="SW34" s="139"/>
      <c r="SX34" s="139"/>
      <c r="SY34" s="139"/>
      <c r="SZ34" s="139"/>
      <c r="TA34" s="139"/>
      <c r="TB34" s="139"/>
      <c r="TC34" s="139"/>
      <c r="TD34" s="139"/>
      <c r="TE34" s="139"/>
      <c r="TF34" s="139"/>
      <c r="TG34" s="139"/>
      <c r="TH34" s="139"/>
      <c r="TI34" s="139"/>
      <c r="TJ34" s="139"/>
      <c r="TK34" s="139"/>
      <c r="TL34" s="139"/>
      <c r="TM34" s="139"/>
      <c r="TN34" s="139"/>
      <c r="TO34" s="139"/>
      <c r="TP34" s="139"/>
      <c r="TQ34" s="139"/>
      <c r="TR34" s="139"/>
      <c r="TS34" s="139"/>
      <c r="TT34" s="139"/>
      <c r="TU34" s="139"/>
      <c r="TV34" s="139"/>
      <c r="TW34" s="139"/>
      <c r="TX34" s="139"/>
      <c r="TY34" s="139"/>
      <c r="TZ34" s="139"/>
      <c r="UA34" s="139"/>
      <c r="UB34" s="139"/>
      <c r="UC34" s="139"/>
      <c r="UD34" s="139"/>
      <c r="UE34" s="139"/>
      <c r="UF34" s="139"/>
      <c r="UG34" s="139"/>
      <c r="UH34" s="139"/>
      <c r="UI34" s="139"/>
      <c r="UJ34" s="139"/>
      <c r="UK34" s="139"/>
      <c r="UL34" s="139"/>
      <c r="UM34" s="139"/>
      <c r="UN34" s="139"/>
      <c r="UO34" s="139"/>
      <c r="UP34" s="139"/>
      <c r="UQ34" s="139"/>
      <c r="UR34" s="139"/>
      <c r="US34" s="139"/>
      <c r="UT34" s="139"/>
      <c r="UU34" s="139"/>
      <c r="UV34" s="139"/>
      <c r="UW34" s="139"/>
      <c r="UX34" s="139"/>
      <c r="UY34" s="139"/>
      <c r="UZ34" s="139"/>
      <c r="VA34" s="139"/>
      <c r="VB34" s="139"/>
      <c r="VC34" s="139"/>
      <c r="VD34" s="139"/>
      <c r="VE34" s="139"/>
      <c r="VF34" s="139"/>
      <c r="VG34" s="139"/>
      <c r="VH34" s="139"/>
      <c r="VI34" s="139"/>
      <c r="VJ34" s="139"/>
      <c r="VK34" s="139"/>
      <c r="VL34" s="139"/>
      <c r="VM34" s="139"/>
      <c r="VN34" s="139"/>
      <c r="VO34" s="139"/>
      <c r="VP34" s="139"/>
      <c r="VQ34" s="139"/>
      <c r="VR34" s="139"/>
      <c r="VS34" s="139"/>
      <c r="VT34" s="139"/>
      <c r="VU34" s="139"/>
      <c r="VV34" s="139"/>
      <c r="VW34" s="139"/>
      <c r="VX34" s="139"/>
      <c r="VY34" s="139"/>
      <c r="VZ34" s="139"/>
      <c r="WA34" s="139"/>
      <c r="WB34" s="139"/>
      <c r="WC34" s="139"/>
      <c r="WD34" s="139"/>
      <c r="WE34" s="139"/>
      <c r="WF34" s="139"/>
      <c r="WG34" s="139"/>
      <c r="WH34" s="139"/>
      <c r="WI34" s="139"/>
      <c r="WJ34" s="139"/>
      <c r="WK34" s="139"/>
      <c r="WL34" s="139"/>
      <c r="WM34" s="139"/>
      <c r="WN34" s="139"/>
      <c r="WO34" s="139"/>
      <c r="WP34" s="139"/>
      <c r="WQ34" s="139"/>
      <c r="WR34" s="139"/>
      <c r="WS34" s="139"/>
      <c r="WT34" s="139"/>
      <c r="WU34" s="139"/>
      <c r="WV34" s="139"/>
      <c r="WW34" s="139"/>
      <c r="WX34" s="139"/>
      <c r="WY34" s="139"/>
      <c r="WZ34" s="139"/>
      <c r="XA34" s="139"/>
      <c r="XB34" s="139"/>
      <c r="XC34" s="139"/>
      <c r="XD34" s="139"/>
      <c r="XE34" s="139"/>
      <c r="XF34" s="139"/>
      <c r="XG34" s="139"/>
      <c r="XH34" s="139"/>
      <c r="XI34" s="139"/>
      <c r="XJ34" s="139"/>
      <c r="XK34" s="139"/>
      <c r="XL34" s="139"/>
      <c r="XM34" s="139"/>
      <c r="XN34" s="139"/>
      <c r="XO34" s="139"/>
      <c r="XP34" s="139"/>
      <c r="XQ34" s="139"/>
      <c r="XR34" s="139"/>
      <c r="XS34" s="139"/>
      <c r="XT34" s="139"/>
      <c r="XU34" s="139"/>
      <c r="XV34" s="139"/>
      <c r="XW34" s="139"/>
      <c r="XX34" s="139"/>
      <c r="XY34" s="139"/>
      <c r="XZ34" s="139"/>
      <c r="YA34" s="139"/>
      <c r="YB34" s="139"/>
      <c r="YC34" s="139"/>
      <c r="YD34" s="139"/>
      <c r="YE34" s="139"/>
      <c r="YF34" s="139"/>
      <c r="YG34" s="139"/>
      <c r="YH34" s="139"/>
      <c r="YI34" s="139"/>
      <c r="YJ34" s="139"/>
      <c r="YK34" s="139"/>
      <c r="YL34" s="139"/>
      <c r="YM34" s="139"/>
      <c r="YN34" s="139"/>
      <c r="YO34" s="139"/>
      <c r="YP34" s="139"/>
      <c r="YQ34" s="139"/>
      <c r="YR34" s="139"/>
      <c r="YS34" s="139"/>
      <c r="YT34" s="139"/>
      <c r="YU34" s="139"/>
      <c r="YV34" s="139"/>
      <c r="YW34" s="139"/>
      <c r="YX34" s="139"/>
      <c r="YY34" s="139"/>
      <c r="YZ34" s="139"/>
      <c r="ZA34" s="139"/>
      <c r="ZB34" s="139"/>
      <c r="ZC34" s="139"/>
      <c r="ZD34" s="139"/>
      <c r="ZE34" s="139"/>
      <c r="ZF34" s="139"/>
      <c r="ZG34" s="139"/>
      <c r="ZH34" s="139"/>
      <c r="ZI34" s="139"/>
      <c r="ZJ34" s="139"/>
      <c r="ZK34" s="139"/>
      <c r="ZL34" s="139"/>
      <c r="ZM34" s="139"/>
      <c r="ZN34" s="139"/>
      <c r="ZO34" s="139"/>
      <c r="ZP34" s="139"/>
      <c r="ZQ34" s="139"/>
      <c r="ZR34" s="139"/>
      <c r="ZS34" s="139"/>
      <c r="ZT34" s="139"/>
      <c r="ZU34" s="139"/>
      <c r="ZV34" s="139"/>
      <c r="ZW34" s="139"/>
      <c r="ZX34" s="139"/>
      <c r="ZY34" s="139"/>
      <c r="ZZ34" s="139"/>
      <c r="AAA34" s="139"/>
      <c r="AAB34" s="139"/>
      <c r="AAC34" s="139"/>
      <c r="AAD34" s="139"/>
      <c r="AAE34" s="139"/>
      <c r="AAF34" s="139"/>
      <c r="AAG34" s="139"/>
      <c r="AAH34" s="139"/>
      <c r="AAI34" s="139"/>
      <c r="AAJ34" s="139"/>
      <c r="AAK34" s="139"/>
      <c r="AAL34" s="139"/>
      <c r="AAM34" s="139"/>
      <c r="AAN34" s="139"/>
      <c r="AAO34" s="139"/>
      <c r="AAP34" s="139"/>
      <c r="AAQ34" s="139"/>
      <c r="AAR34" s="139"/>
      <c r="AAS34" s="139"/>
      <c r="AAT34" s="139"/>
      <c r="AAU34" s="139"/>
      <c r="AAV34" s="139"/>
      <c r="AAW34" s="139"/>
      <c r="AAX34" s="139"/>
      <c r="AAY34" s="139"/>
      <c r="AAZ34" s="139"/>
      <c r="ABA34" s="139"/>
      <c r="ABB34" s="139"/>
      <c r="ABC34" s="139"/>
      <c r="ABD34" s="139"/>
      <c r="ABE34" s="139"/>
      <c r="ABF34" s="139"/>
      <c r="ABG34" s="139"/>
      <c r="ABH34" s="139"/>
      <c r="ABI34" s="139"/>
      <c r="ABJ34" s="139"/>
      <c r="ABK34" s="139"/>
      <c r="ABL34" s="139"/>
      <c r="ABM34" s="139"/>
      <c r="ABN34" s="139"/>
      <c r="ABO34" s="139"/>
      <c r="ABP34" s="139"/>
      <c r="ABQ34" s="139"/>
      <c r="ABR34" s="139"/>
      <c r="ABS34" s="139"/>
      <c r="ABT34" s="139"/>
      <c r="ABU34" s="139"/>
      <c r="ABV34" s="139"/>
      <c r="ABW34" s="139"/>
      <c r="ABX34" s="139"/>
      <c r="ABY34" s="139"/>
      <c r="ABZ34" s="139"/>
      <c r="ACA34" s="139"/>
      <c r="ACB34" s="139"/>
      <c r="ACC34" s="139"/>
      <c r="ACD34" s="139"/>
      <c r="ACE34" s="139"/>
      <c r="ACF34" s="139"/>
      <c r="ACG34" s="139"/>
      <c r="ACH34" s="139"/>
      <c r="ACI34" s="139"/>
      <c r="ACJ34" s="139"/>
      <c r="ACK34" s="139"/>
      <c r="ACL34" s="139"/>
      <c r="ACM34" s="139"/>
      <c r="ACN34" s="139"/>
      <c r="ACO34" s="139"/>
      <c r="ACP34" s="139"/>
      <c r="ACQ34" s="139"/>
      <c r="ACR34" s="139"/>
      <c r="ACS34" s="139"/>
      <c r="ACT34" s="139"/>
      <c r="ACU34" s="139"/>
      <c r="ACV34" s="139"/>
      <c r="ACW34" s="139"/>
      <c r="ACX34" s="139"/>
      <c r="ACY34" s="139"/>
      <c r="ACZ34" s="139"/>
      <c r="ADA34" s="139"/>
      <c r="ADB34" s="139"/>
      <c r="ADC34" s="139"/>
      <c r="ADD34" s="139"/>
      <c r="ADE34" s="139"/>
      <c r="ADF34" s="139"/>
      <c r="ADG34" s="139"/>
      <c r="ADH34" s="139"/>
      <c r="ADI34" s="139"/>
      <c r="ADJ34" s="139"/>
      <c r="ADK34" s="139"/>
      <c r="ADL34" s="139"/>
      <c r="ADM34" s="139"/>
      <c r="ADN34" s="139"/>
      <c r="ADO34" s="139"/>
      <c r="ADP34" s="139"/>
      <c r="ADQ34" s="139"/>
      <c r="ADR34" s="139"/>
      <c r="ADS34" s="139"/>
      <c r="ADT34" s="139"/>
      <c r="ADU34" s="139"/>
      <c r="ADV34" s="139"/>
      <c r="ADW34" s="139"/>
      <c r="ADX34" s="139"/>
      <c r="ADY34" s="139"/>
      <c r="ADZ34" s="139"/>
      <c r="AEA34" s="139"/>
      <c r="AEB34" s="139"/>
      <c r="AEC34" s="139"/>
      <c r="AED34" s="139"/>
      <c r="AEE34" s="139"/>
      <c r="AEF34" s="139"/>
      <c r="AEG34" s="139"/>
      <c r="AEH34" s="139"/>
      <c r="AEI34" s="139"/>
      <c r="AEJ34" s="139"/>
      <c r="AEK34" s="139"/>
      <c r="AEL34" s="139"/>
      <c r="AEM34" s="139"/>
      <c r="AEN34" s="139"/>
      <c r="AEO34" s="139"/>
      <c r="AEP34" s="139"/>
      <c r="AEQ34" s="139"/>
      <c r="AER34" s="139"/>
      <c r="AES34" s="139"/>
      <c r="AET34" s="139"/>
      <c r="AEU34" s="139"/>
      <c r="AEV34" s="139"/>
      <c r="AEW34" s="139"/>
      <c r="AEX34" s="139"/>
      <c r="AEY34" s="139"/>
      <c r="AEZ34" s="139"/>
      <c r="AFA34" s="139"/>
      <c r="AFB34" s="139"/>
      <c r="AFC34" s="139"/>
      <c r="AFD34" s="139"/>
      <c r="AFE34" s="139"/>
      <c r="AFF34" s="139"/>
      <c r="AFG34" s="139"/>
      <c r="AFH34" s="139"/>
      <c r="AFI34" s="139"/>
      <c r="AFJ34" s="139"/>
      <c r="AFK34" s="139"/>
      <c r="AFL34" s="139"/>
      <c r="AFM34" s="139"/>
      <c r="AFN34" s="139"/>
      <c r="AFO34" s="139"/>
      <c r="AFP34" s="139"/>
      <c r="AFQ34" s="139"/>
      <c r="AFR34" s="139"/>
      <c r="AFS34" s="139"/>
      <c r="AFT34" s="139"/>
      <c r="AFU34" s="139"/>
      <c r="AFV34" s="139"/>
      <c r="AFW34" s="139"/>
      <c r="AFX34" s="139"/>
      <c r="AFY34" s="139"/>
      <c r="AFZ34" s="139"/>
      <c r="AGA34" s="139"/>
      <c r="AGB34" s="139"/>
      <c r="AGC34" s="139"/>
      <c r="AGD34" s="139"/>
      <c r="AGE34" s="139"/>
      <c r="AGF34" s="139"/>
      <c r="AGG34" s="139"/>
      <c r="AGH34" s="139"/>
      <c r="AGI34" s="139"/>
      <c r="AGJ34" s="139"/>
      <c r="AGK34" s="139"/>
      <c r="AGL34" s="139"/>
      <c r="AGM34" s="139"/>
      <c r="AGN34" s="139"/>
      <c r="AGO34" s="139"/>
      <c r="AGP34" s="139"/>
      <c r="AGQ34" s="139"/>
      <c r="AGR34" s="139"/>
      <c r="AGS34" s="139"/>
      <c r="AGT34" s="139"/>
      <c r="AGU34" s="139"/>
      <c r="AGV34" s="139"/>
      <c r="AGW34" s="139"/>
      <c r="AGX34" s="139"/>
      <c r="AGY34" s="139"/>
      <c r="AGZ34" s="139"/>
      <c r="AHA34" s="139"/>
      <c r="AHB34" s="139"/>
      <c r="AHC34" s="139"/>
      <c r="AHD34" s="139"/>
      <c r="AHE34" s="139"/>
      <c r="AHF34" s="139"/>
      <c r="AHG34" s="139"/>
      <c r="AHH34" s="139"/>
      <c r="AHI34" s="139"/>
      <c r="AHJ34" s="139"/>
      <c r="AHK34" s="139"/>
      <c r="AHL34" s="139"/>
      <c r="AHM34" s="139"/>
      <c r="AHN34" s="139"/>
      <c r="AHO34" s="139"/>
      <c r="AHP34" s="139"/>
      <c r="AHQ34" s="139"/>
      <c r="AHR34" s="139"/>
      <c r="AHS34" s="139"/>
      <c r="AHT34" s="139"/>
      <c r="AHU34" s="139"/>
      <c r="AHV34" s="139"/>
      <c r="AHW34" s="139"/>
      <c r="AHX34" s="139"/>
      <c r="AHY34" s="139"/>
      <c r="AHZ34" s="139"/>
      <c r="AIA34" s="139"/>
      <c r="AIB34" s="139"/>
      <c r="AIC34" s="139"/>
      <c r="AID34" s="139"/>
      <c r="AIE34" s="139"/>
      <c r="AIF34" s="139"/>
      <c r="AIG34" s="139"/>
      <c r="AIH34" s="139"/>
      <c r="AII34" s="139"/>
      <c r="AIJ34" s="139"/>
      <c r="AIK34" s="139"/>
      <c r="AIL34" s="139"/>
      <c r="AIM34" s="139"/>
      <c r="AIN34" s="139"/>
      <c r="AIO34" s="139"/>
      <c r="AIP34" s="139"/>
      <c r="AIQ34" s="139"/>
      <c r="AIR34" s="139"/>
      <c r="AIS34" s="139"/>
      <c r="AIT34" s="139"/>
      <c r="AIU34" s="139"/>
      <c r="AIV34" s="139"/>
      <c r="AIW34" s="139"/>
      <c r="AIX34" s="139"/>
      <c r="AIY34" s="139"/>
      <c r="AIZ34" s="139"/>
      <c r="AJA34" s="139"/>
      <c r="AJB34" s="139"/>
      <c r="AJC34" s="139"/>
      <c r="AJD34" s="139"/>
      <c r="AJE34" s="139"/>
      <c r="AJF34" s="139"/>
      <c r="AJG34" s="139"/>
      <c r="AJH34" s="139"/>
      <c r="AJI34" s="139"/>
      <c r="AJJ34" s="139"/>
      <c r="AJK34" s="139"/>
      <c r="AJL34" s="139"/>
      <c r="AJM34" s="139"/>
      <c r="AJN34" s="139"/>
      <c r="AJO34" s="139"/>
      <c r="AJP34" s="139"/>
      <c r="AJQ34" s="139"/>
      <c r="AJR34" s="139"/>
      <c r="AJS34" s="139"/>
      <c r="AJT34" s="139"/>
      <c r="AJU34" s="139"/>
      <c r="AJV34" s="139"/>
      <c r="AJW34" s="139"/>
      <c r="AJX34" s="139"/>
      <c r="AJY34" s="139"/>
      <c r="AJZ34" s="139"/>
      <c r="AKA34" s="139"/>
      <c r="AKB34" s="139"/>
      <c r="AKC34" s="139"/>
      <c r="AKD34" s="139"/>
      <c r="AKE34" s="139"/>
      <c r="AKF34" s="139"/>
      <c r="AKG34" s="139"/>
      <c r="AKH34" s="139"/>
      <c r="AKI34" s="139"/>
      <c r="AKJ34" s="139"/>
      <c r="AKK34" s="139"/>
      <c r="AKL34" s="139"/>
      <c r="AKM34" s="139"/>
      <c r="AKN34" s="139"/>
      <c r="AKO34" s="139"/>
      <c r="AKP34" s="139"/>
      <c r="AKQ34" s="139"/>
      <c r="AKR34" s="139"/>
      <c r="AKS34" s="139"/>
      <c r="AKT34" s="139"/>
      <c r="AKU34" s="139"/>
      <c r="AKV34" s="139"/>
      <c r="AKW34" s="139"/>
      <c r="AKX34" s="139"/>
      <c r="AKY34" s="139"/>
      <c r="AKZ34" s="139"/>
      <c r="ALA34" s="139"/>
      <c r="ALB34" s="139"/>
      <c r="ALC34" s="139"/>
      <c r="ALD34" s="139"/>
      <c r="ALE34" s="139"/>
      <c r="ALF34" s="139"/>
      <c r="ALG34" s="139"/>
      <c r="ALH34" s="139"/>
      <c r="ALI34" s="139"/>
      <c r="ALJ34" s="139"/>
      <c r="ALK34" s="139"/>
      <c r="ALL34" s="139"/>
      <c r="ALM34" s="139"/>
      <c r="ALN34" s="139"/>
      <c r="ALO34" s="139"/>
      <c r="ALP34" s="139"/>
      <c r="ALQ34" s="139"/>
      <c r="ALR34" s="139"/>
      <c r="ALS34" s="139"/>
      <c r="ALT34" s="139"/>
      <c r="ALU34" s="139"/>
      <c r="ALV34" s="139"/>
      <c r="ALW34" s="139"/>
      <c r="ALX34" s="139"/>
      <c r="ALY34" s="139"/>
      <c r="ALZ34" s="139"/>
      <c r="AMA34" s="139"/>
      <c r="AMB34" s="139"/>
      <c r="AMC34" s="139"/>
      <c r="AMD34" s="139"/>
      <c r="AME34" s="139"/>
      <c r="AMF34" s="139"/>
      <c r="AMG34" s="139"/>
      <c r="AMH34" s="139"/>
      <c r="AMI34" s="139"/>
      <c r="AMJ34" s="139"/>
    </row>
    <row r="35" spans="1:1024" s="140" customFormat="1" x14ac:dyDescent="0.25">
      <c r="A35" s="139"/>
      <c r="B35" s="139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39"/>
      <c r="EL35" s="139"/>
      <c r="EM35" s="139"/>
      <c r="EN35" s="139"/>
      <c r="EO35" s="139"/>
      <c r="EP35" s="139"/>
      <c r="EQ35" s="139"/>
      <c r="ER35" s="139"/>
      <c r="ES35" s="139"/>
      <c r="ET35" s="139"/>
      <c r="EU35" s="139"/>
      <c r="EV35" s="139"/>
      <c r="EW35" s="139"/>
      <c r="EX35" s="139"/>
      <c r="EY35" s="139"/>
      <c r="EZ35" s="139"/>
      <c r="FA35" s="139"/>
      <c r="FB35" s="139"/>
      <c r="FC35" s="139"/>
      <c r="FD35" s="139"/>
      <c r="FE35" s="139"/>
      <c r="FF35" s="139"/>
      <c r="FG35" s="139"/>
      <c r="FH35" s="139"/>
      <c r="FI35" s="139"/>
      <c r="FJ35" s="139"/>
      <c r="FK35" s="139"/>
      <c r="FL35" s="139"/>
      <c r="FM35" s="139"/>
      <c r="FN35" s="139"/>
      <c r="FO35" s="139"/>
      <c r="FP35" s="139"/>
      <c r="FQ35" s="139"/>
      <c r="FR35" s="139"/>
      <c r="FS35" s="139"/>
      <c r="FT35" s="139"/>
      <c r="FU35" s="139"/>
      <c r="FV35" s="139"/>
      <c r="FW35" s="139"/>
      <c r="FX35" s="139"/>
      <c r="FY35" s="139"/>
      <c r="FZ35" s="139"/>
      <c r="GA35" s="139"/>
      <c r="GB35" s="139"/>
      <c r="GC35" s="139"/>
      <c r="GD35" s="139"/>
      <c r="GE35" s="139"/>
      <c r="GF35" s="139"/>
      <c r="GG35" s="139"/>
      <c r="GH35" s="139"/>
      <c r="GI35" s="139"/>
      <c r="GJ35" s="139"/>
      <c r="GK35" s="139"/>
      <c r="GL35" s="139"/>
      <c r="GM35" s="139"/>
      <c r="GN35" s="139"/>
      <c r="GO35" s="139"/>
      <c r="GP35" s="139"/>
      <c r="GQ35" s="139"/>
      <c r="GR35" s="139"/>
      <c r="GS35" s="139"/>
      <c r="GT35" s="139"/>
      <c r="GU35" s="139"/>
      <c r="GV35" s="139"/>
      <c r="GW35" s="139"/>
      <c r="GX35" s="139"/>
      <c r="GY35" s="139"/>
      <c r="GZ35" s="139"/>
      <c r="HA35" s="139"/>
      <c r="HB35" s="139"/>
      <c r="HC35" s="139"/>
      <c r="HD35" s="139"/>
      <c r="HE35" s="139"/>
      <c r="HF35" s="139"/>
      <c r="HG35" s="139"/>
      <c r="HH35" s="139"/>
      <c r="HI35" s="139"/>
      <c r="HJ35" s="139"/>
      <c r="HK35" s="139"/>
      <c r="HL35" s="139"/>
      <c r="HM35" s="139"/>
      <c r="HN35" s="139"/>
      <c r="HO35" s="139"/>
      <c r="HP35" s="139"/>
      <c r="HQ35" s="139"/>
      <c r="HR35" s="139"/>
      <c r="HS35" s="139"/>
      <c r="HT35" s="139"/>
      <c r="HU35" s="139"/>
      <c r="HV35" s="139"/>
      <c r="HW35" s="139"/>
      <c r="HX35" s="139"/>
      <c r="HY35" s="139"/>
      <c r="HZ35" s="139"/>
      <c r="IA35" s="139"/>
      <c r="IB35" s="139"/>
      <c r="IC35" s="139"/>
      <c r="ID35" s="139"/>
      <c r="IE35" s="139"/>
      <c r="IF35" s="139"/>
      <c r="IG35" s="139"/>
      <c r="IH35" s="139"/>
      <c r="II35" s="139"/>
      <c r="IJ35" s="139"/>
      <c r="IK35" s="139"/>
      <c r="IL35" s="139"/>
      <c r="IM35" s="139"/>
      <c r="IN35" s="139"/>
      <c r="IO35" s="139"/>
      <c r="IP35" s="139"/>
      <c r="IQ35" s="139"/>
      <c r="IR35" s="139"/>
      <c r="IS35" s="139"/>
      <c r="IT35" s="139"/>
      <c r="IU35" s="139"/>
      <c r="IV35" s="139"/>
      <c r="IW35" s="139"/>
      <c r="IX35" s="139"/>
      <c r="IY35" s="139"/>
      <c r="IZ35" s="139"/>
      <c r="JA35" s="139"/>
      <c r="JB35" s="139"/>
      <c r="JC35" s="139"/>
      <c r="JD35" s="139"/>
      <c r="JE35" s="139"/>
      <c r="JF35" s="139"/>
      <c r="JG35" s="139"/>
      <c r="JH35" s="139"/>
      <c r="JI35" s="139"/>
      <c r="JJ35" s="139"/>
      <c r="JK35" s="139"/>
      <c r="JL35" s="139"/>
      <c r="JM35" s="139"/>
      <c r="JN35" s="139"/>
      <c r="JO35" s="139"/>
      <c r="JP35" s="139"/>
      <c r="JQ35" s="139"/>
      <c r="JR35" s="139"/>
      <c r="JS35" s="139"/>
      <c r="JT35" s="139"/>
      <c r="JU35" s="139"/>
      <c r="JV35" s="139"/>
      <c r="JW35" s="139"/>
      <c r="JX35" s="139"/>
      <c r="JY35" s="139"/>
      <c r="JZ35" s="139"/>
      <c r="KA35" s="139"/>
      <c r="KB35" s="139"/>
      <c r="KC35" s="139"/>
      <c r="KD35" s="139"/>
      <c r="KE35" s="139"/>
      <c r="KF35" s="139"/>
      <c r="KG35" s="139"/>
      <c r="KH35" s="139"/>
      <c r="KI35" s="139"/>
      <c r="KJ35" s="139"/>
      <c r="KK35" s="139"/>
      <c r="KL35" s="139"/>
      <c r="KM35" s="139"/>
      <c r="KN35" s="139"/>
      <c r="KO35" s="139"/>
      <c r="KP35" s="139"/>
      <c r="KQ35" s="139"/>
      <c r="KR35" s="139"/>
      <c r="KS35" s="139"/>
      <c r="KT35" s="139"/>
      <c r="KU35" s="139"/>
      <c r="KV35" s="139"/>
      <c r="KW35" s="139"/>
      <c r="KX35" s="139"/>
      <c r="KY35" s="139"/>
      <c r="KZ35" s="139"/>
      <c r="LA35" s="139"/>
      <c r="LB35" s="139"/>
      <c r="LC35" s="139"/>
      <c r="LD35" s="139"/>
      <c r="LE35" s="139"/>
      <c r="LF35" s="139"/>
      <c r="LG35" s="139"/>
      <c r="LH35" s="139"/>
      <c r="LI35" s="139"/>
      <c r="LJ35" s="139"/>
      <c r="LK35" s="139"/>
      <c r="LL35" s="139"/>
      <c r="LM35" s="139"/>
      <c r="LN35" s="139"/>
      <c r="LO35" s="139"/>
      <c r="LP35" s="139"/>
      <c r="LQ35" s="139"/>
      <c r="LR35" s="139"/>
      <c r="LS35" s="139"/>
      <c r="LT35" s="139"/>
      <c r="LU35" s="139"/>
      <c r="LV35" s="139"/>
      <c r="LW35" s="139"/>
      <c r="LX35" s="139"/>
      <c r="LY35" s="139"/>
      <c r="LZ35" s="139"/>
      <c r="MA35" s="139"/>
      <c r="MB35" s="139"/>
      <c r="MC35" s="139"/>
      <c r="MD35" s="139"/>
      <c r="ME35" s="139"/>
      <c r="MF35" s="139"/>
      <c r="MG35" s="139"/>
      <c r="MH35" s="139"/>
      <c r="MI35" s="139"/>
      <c r="MJ35" s="139"/>
      <c r="MK35" s="139"/>
      <c r="ML35" s="139"/>
      <c r="MM35" s="139"/>
      <c r="MN35" s="139"/>
      <c r="MO35" s="139"/>
      <c r="MP35" s="139"/>
      <c r="MQ35" s="139"/>
      <c r="MR35" s="139"/>
      <c r="MS35" s="139"/>
      <c r="MT35" s="139"/>
      <c r="MU35" s="139"/>
      <c r="MV35" s="139"/>
      <c r="MW35" s="139"/>
      <c r="MX35" s="139"/>
      <c r="MY35" s="139"/>
      <c r="MZ35" s="139"/>
      <c r="NA35" s="139"/>
      <c r="NB35" s="139"/>
      <c r="NC35" s="139"/>
      <c r="ND35" s="139"/>
      <c r="NE35" s="139"/>
      <c r="NF35" s="139"/>
      <c r="NG35" s="139"/>
      <c r="NH35" s="139"/>
      <c r="NI35" s="139"/>
      <c r="NJ35" s="139"/>
      <c r="NK35" s="139"/>
      <c r="NL35" s="139"/>
      <c r="NM35" s="139"/>
      <c r="NN35" s="139"/>
      <c r="NO35" s="139"/>
      <c r="NP35" s="139"/>
      <c r="NQ35" s="139"/>
      <c r="NR35" s="139"/>
      <c r="NS35" s="139"/>
      <c r="NT35" s="139"/>
      <c r="NU35" s="139"/>
      <c r="NV35" s="139"/>
      <c r="NW35" s="139"/>
      <c r="NX35" s="139"/>
      <c r="NY35" s="139"/>
      <c r="NZ35" s="139"/>
      <c r="OA35" s="139"/>
      <c r="OB35" s="139"/>
      <c r="OC35" s="139"/>
      <c r="OD35" s="139"/>
      <c r="OE35" s="139"/>
      <c r="OF35" s="139"/>
      <c r="OG35" s="139"/>
      <c r="OH35" s="139"/>
      <c r="OI35" s="139"/>
      <c r="OJ35" s="139"/>
      <c r="OK35" s="139"/>
      <c r="OL35" s="139"/>
      <c r="OM35" s="139"/>
      <c r="ON35" s="139"/>
      <c r="OO35" s="139"/>
      <c r="OP35" s="139"/>
      <c r="OQ35" s="139"/>
      <c r="OR35" s="139"/>
      <c r="OS35" s="139"/>
      <c r="OT35" s="139"/>
      <c r="OU35" s="139"/>
      <c r="OV35" s="139"/>
      <c r="OW35" s="139"/>
      <c r="OX35" s="139"/>
      <c r="OY35" s="139"/>
      <c r="OZ35" s="139"/>
      <c r="PA35" s="139"/>
      <c r="PB35" s="139"/>
      <c r="PC35" s="139"/>
      <c r="PD35" s="139"/>
      <c r="PE35" s="139"/>
      <c r="PF35" s="139"/>
      <c r="PG35" s="139"/>
      <c r="PH35" s="139"/>
      <c r="PI35" s="139"/>
      <c r="PJ35" s="139"/>
      <c r="PK35" s="139"/>
      <c r="PL35" s="139"/>
      <c r="PM35" s="139"/>
      <c r="PN35" s="139"/>
      <c r="PO35" s="139"/>
      <c r="PP35" s="139"/>
      <c r="PQ35" s="139"/>
      <c r="PR35" s="139"/>
      <c r="PS35" s="139"/>
      <c r="PT35" s="139"/>
      <c r="PU35" s="139"/>
      <c r="PV35" s="139"/>
      <c r="PW35" s="139"/>
      <c r="PX35" s="139"/>
      <c r="PY35" s="139"/>
      <c r="PZ35" s="139"/>
      <c r="QA35" s="139"/>
      <c r="QB35" s="139"/>
      <c r="QC35" s="139"/>
      <c r="QD35" s="139"/>
      <c r="QE35" s="139"/>
      <c r="QF35" s="139"/>
      <c r="QG35" s="139"/>
      <c r="QH35" s="139"/>
      <c r="QI35" s="139"/>
      <c r="QJ35" s="139"/>
      <c r="QK35" s="139"/>
      <c r="QL35" s="139"/>
      <c r="QM35" s="139"/>
      <c r="QN35" s="139"/>
      <c r="QO35" s="139"/>
      <c r="QP35" s="139"/>
      <c r="QQ35" s="139"/>
      <c r="QR35" s="139"/>
      <c r="QS35" s="139"/>
      <c r="QT35" s="139"/>
      <c r="QU35" s="139"/>
      <c r="QV35" s="139"/>
      <c r="QW35" s="139"/>
      <c r="QX35" s="139"/>
      <c r="QY35" s="139"/>
      <c r="QZ35" s="139"/>
      <c r="RA35" s="139"/>
      <c r="RB35" s="139"/>
      <c r="RC35" s="139"/>
      <c r="RD35" s="139"/>
      <c r="RE35" s="139"/>
      <c r="RF35" s="139"/>
      <c r="RG35" s="139"/>
      <c r="RH35" s="139"/>
      <c r="RI35" s="139"/>
      <c r="RJ35" s="139"/>
      <c r="RK35" s="139"/>
      <c r="RL35" s="139"/>
      <c r="RM35" s="139"/>
      <c r="RN35" s="139"/>
      <c r="RO35" s="139"/>
      <c r="RP35" s="139"/>
      <c r="RQ35" s="139"/>
      <c r="RR35" s="139"/>
      <c r="RS35" s="139"/>
      <c r="RT35" s="139"/>
      <c r="RU35" s="139"/>
      <c r="RV35" s="139"/>
      <c r="RW35" s="139"/>
      <c r="RX35" s="139"/>
      <c r="RY35" s="139"/>
      <c r="RZ35" s="139"/>
      <c r="SA35" s="139"/>
      <c r="SB35" s="139"/>
      <c r="SC35" s="139"/>
      <c r="SD35" s="139"/>
      <c r="SE35" s="139"/>
      <c r="SF35" s="139"/>
      <c r="SG35" s="139"/>
      <c r="SH35" s="139"/>
      <c r="SI35" s="139"/>
      <c r="SJ35" s="139"/>
      <c r="SK35" s="139"/>
      <c r="SL35" s="139"/>
      <c r="SM35" s="139"/>
      <c r="SN35" s="139"/>
      <c r="SO35" s="139"/>
      <c r="SP35" s="139"/>
      <c r="SQ35" s="139"/>
      <c r="SR35" s="139"/>
      <c r="SS35" s="139"/>
      <c r="ST35" s="139"/>
      <c r="SU35" s="139"/>
      <c r="SV35" s="139"/>
      <c r="SW35" s="139"/>
      <c r="SX35" s="139"/>
      <c r="SY35" s="139"/>
      <c r="SZ35" s="139"/>
      <c r="TA35" s="139"/>
      <c r="TB35" s="139"/>
      <c r="TC35" s="139"/>
      <c r="TD35" s="139"/>
      <c r="TE35" s="139"/>
      <c r="TF35" s="139"/>
      <c r="TG35" s="139"/>
      <c r="TH35" s="139"/>
      <c r="TI35" s="139"/>
      <c r="TJ35" s="139"/>
      <c r="TK35" s="139"/>
      <c r="TL35" s="139"/>
      <c r="TM35" s="139"/>
      <c r="TN35" s="139"/>
      <c r="TO35" s="139"/>
      <c r="TP35" s="139"/>
      <c r="TQ35" s="139"/>
      <c r="TR35" s="139"/>
      <c r="TS35" s="139"/>
      <c r="TT35" s="139"/>
      <c r="TU35" s="139"/>
      <c r="TV35" s="139"/>
      <c r="TW35" s="139"/>
      <c r="TX35" s="139"/>
      <c r="TY35" s="139"/>
      <c r="TZ35" s="139"/>
      <c r="UA35" s="139"/>
      <c r="UB35" s="139"/>
      <c r="UC35" s="139"/>
      <c r="UD35" s="139"/>
      <c r="UE35" s="139"/>
      <c r="UF35" s="139"/>
      <c r="UG35" s="139"/>
      <c r="UH35" s="139"/>
      <c r="UI35" s="139"/>
      <c r="UJ35" s="139"/>
      <c r="UK35" s="139"/>
      <c r="UL35" s="139"/>
      <c r="UM35" s="139"/>
      <c r="UN35" s="139"/>
      <c r="UO35" s="139"/>
      <c r="UP35" s="139"/>
      <c r="UQ35" s="139"/>
      <c r="UR35" s="139"/>
      <c r="US35" s="139"/>
      <c r="UT35" s="139"/>
      <c r="UU35" s="139"/>
      <c r="UV35" s="139"/>
      <c r="UW35" s="139"/>
      <c r="UX35" s="139"/>
      <c r="UY35" s="139"/>
      <c r="UZ35" s="139"/>
      <c r="VA35" s="139"/>
      <c r="VB35" s="139"/>
      <c r="VC35" s="139"/>
      <c r="VD35" s="139"/>
      <c r="VE35" s="139"/>
      <c r="VF35" s="139"/>
      <c r="VG35" s="139"/>
      <c r="VH35" s="139"/>
      <c r="VI35" s="139"/>
      <c r="VJ35" s="139"/>
      <c r="VK35" s="139"/>
      <c r="VL35" s="139"/>
      <c r="VM35" s="139"/>
      <c r="VN35" s="139"/>
      <c r="VO35" s="139"/>
      <c r="VP35" s="139"/>
      <c r="VQ35" s="139"/>
      <c r="VR35" s="139"/>
      <c r="VS35" s="139"/>
      <c r="VT35" s="139"/>
      <c r="VU35" s="139"/>
      <c r="VV35" s="139"/>
      <c r="VW35" s="139"/>
      <c r="VX35" s="139"/>
      <c r="VY35" s="139"/>
      <c r="VZ35" s="139"/>
      <c r="WA35" s="139"/>
      <c r="WB35" s="139"/>
      <c r="WC35" s="139"/>
      <c r="WD35" s="139"/>
      <c r="WE35" s="139"/>
      <c r="WF35" s="139"/>
      <c r="WG35" s="139"/>
      <c r="WH35" s="139"/>
      <c r="WI35" s="139"/>
      <c r="WJ35" s="139"/>
      <c r="WK35" s="139"/>
      <c r="WL35" s="139"/>
      <c r="WM35" s="139"/>
      <c r="WN35" s="139"/>
      <c r="WO35" s="139"/>
      <c r="WP35" s="139"/>
      <c r="WQ35" s="139"/>
      <c r="WR35" s="139"/>
      <c r="WS35" s="139"/>
      <c r="WT35" s="139"/>
      <c r="WU35" s="139"/>
      <c r="WV35" s="139"/>
      <c r="WW35" s="139"/>
      <c r="WX35" s="139"/>
      <c r="WY35" s="139"/>
      <c r="WZ35" s="139"/>
      <c r="XA35" s="139"/>
      <c r="XB35" s="139"/>
      <c r="XC35" s="139"/>
      <c r="XD35" s="139"/>
      <c r="XE35" s="139"/>
      <c r="XF35" s="139"/>
      <c r="XG35" s="139"/>
      <c r="XH35" s="139"/>
      <c r="XI35" s="139"/>
      <c r="XJ35" s="139"/>
      <c r="XK35" s="139"/>
      <c r="XL35" s="139"/>
      <c r="XM35" s="139"/>
      <c r="XN35" s="139"/>
      <c r="XO35" s="139"/>
      <c r="XP35" s="139"/>
      <c r="XQ35" s="139"/>
      <c r="XR35" s="139"/>
      <c r="XS35" s="139"/>
      <c r="XT35" s="139"/>
      <c r="XU35" s="139"/>
      <c r="XV35" s="139"/>
      <c r="XW35" s="139"/>
      <c r="XX35" s="139"/>
      <c r="XY35" s="139"/>
      <c r="XZ35" s="139"/>
      <c r="YA35" s="139"/>
      <c r="YB35" s="139"/>
      <c r="YC35" s="139"/>
      <c r="YD35" s="139"/>
      <c r="YE35" s="139"/>
      <c r="YF35" s="139"/>
      <c r="YG35" s="139"/>
      <c r="YH35" s="139"/>
      <c r="YI35" s="139"/>
      <c r="YJ35" s="139"/>
      <c r="YK35" s="139"/>
      <c r="YL35" s="139"/>
      <c r="YM35" s="139"/>
      <c r="YN35" s="139"/>
      <c r="YO35" s="139"/>
      <c r="YP35" s="139"/>
      <c r="YQ35" s="139"/>
      <c r="YR35" s="139"/>
      <c r="YS35" s="139"/>
      <c r="YT35" s="139"/>
      <c r="YU35" s="139"/>
      <c r="YV35" s="139"/>
      <c r="YW35" s="139"/>
      <c r="YX35" s="139"/>
      <c r="YY35" s="139"/>
      <c r="YZ35" s="139"/>
      <c r="ZA35" s="139"/>
      <c r="ZB35" s="139"/>
      <c r="ZC35" s="139"/>
      <c r="ZD35" s="139"/>
      <c r="ZE35" s="139"/>
      <c r="ZF35" s="139"/>
      <c r="ZG35" s="139"/>
      <c r="ZH35" s="139"/>
      <c r="ZI35" s="139"/>
      <c r="ZJ35" s="139"/>
      <c r="ZK35" s="139"/>
      <c r="ZL35" s="139"/>
      <c r="ZM35" s="139"/>
      <c r="ZN35" s="139"/>
      <c r="ZO35" s="139"/>
      <c r="ZP35" s="139"/>
      <c r="ZQ35" s="139"/>
      <c r="ZR35" s="139"/>
      <c r="ZS35" s="139"/>
      <c r="ZT35" s="139"/>
      <c r="ZU35" s="139"/>
      <c r="ZV35" s="139"/>
      <c r="ZW35" s="139"/>
      <c r="ZX35" s="139"/>
      <c r="ZY35" s="139"/>
      <c r="ZZ35" s="139"/>
      <c r="AAA35" s="139"/>
      <c r="AAB35" s="139"/>
      <c r="AAC35" s="139"/>
      <c r="AAD35" s="139"/>
      <c r="AAE35" s="139"/>
      <c r="AAF35" s="139"/>
      <c r="AAG35" s="139"/>
      <c r="AAH35" s="139"/>
      <c r="AAI35" s="139"/>
      <c r="AAJ35" s="139"/>
      <c r="AAK35" s="139"/>
      <c r="AAL35" s="139"/>
      <c r="AAM35" s="139"/>
      <c r="AAN35" s="139"/>
      <c r="AAO35" s="139"/>
      <c r="AAP35" s="139"/>
      <c r="AAQ35" s="139"/>
      <c r="AAR35" s="139"/>
      <c r="AAS35" s="139"/>
      <c r="AAT35" s="139"/>
      <c r="AAU35" s="139"/>
      <c r="AAV35" s="139"/>
      <c r="AAW35" s="139"/>
      <c r="AAX35" s="139"/>
      <c r="AAY35" s="139"/>
      <c r="AAZ35" s="139"/>
      <c r="ABA35" s="139"/>
      <c r="ABB35" s="139"/>
      <c r="ABC35" s="139"/>
      <c r="ABD35" s="139"/>
      <c r="ABE35" s="139"/>
      <c r="ABF35" s="139"/>
      <c r="ABG35" s="139"/>
      <c r="ABH35" s="139"/>
      <c r="ABI35" s="139"/>
      <c r="ABJ35" s="139"/>
      <c r="ABK35" s="139"/>
      <c r="ABL35" s="139"/>
      <c r="ABM35" s="139"/>
      <c r="ABN35" s="139"/>
      <c r="ABO35" s="139"/>
      <c r="ABP35" s="139"/>
      <c r="ABQ35" s="139"/>
      <c r="ABR35" s="139"/>
      <c r="ABS35" s="139"/>
      <c r="ABT35" s="139"/>
      <c r="ABU35" s="139"/>
      <c r="ABV35" s="139"/>
      <c r="ABW35" s="139"/>
      <c r="ABX35" s="139"/>
      <c r="ABY35" s="139"/>
      <c r="ABZ35" s="139"/>
      <c r="ACA35" s="139"/>
      <c r="ACB35" s="139"/>
      <c r="ACC35" s="139"/>
      <c r="ACD35" s="139"/>
      <c r="ACE35" s="139"/>
      <c r="ACF35" s="139"/>
      <c r="ACG35" s="139"/>
      <c r="ACH35" s="139"/>
      <c r="ACI35" s="139"/>
      <c r="ACJ35" s="139"/>
      <c r="ACK35" s="139"/>
      <c r="ACL35" s="139"/>
      <c r="ACM35" s="139"/>
      <c r="ACN35" s="139"/>
      <c r="ACO35" s="139"/>
      <c r="ACP35" s="139"/>
      <c r="ACQ35" s="139"/>
      <c r="ACR35" s="139"/>
      <c r="ACS35" s="139"/>
      <c r="ACT35" s="139"/>
      <c r="ACU35" s="139"/>
      <c r="ACV35" s="139"/>
      <c r="ACW35" s="139"/>
      <c r="ACX35" s="139"/>
      <c r="ACY35" s="139"/>
      <c r="ACZ35" s="139"/>
      <c r="ADA35" s="139"/>
      <c r="ADB35" s="139"/>
      <c r="ADC35" s="139"/>
      <c r="ADD35" s="139"/>
      <c r="ADE35" s="139"/>
      <c r="ADF35" s="139"/>
      <c r="ADG35" s="139"/>
      <c r="ADH35" s="139"/>
      <c r="ADI35" s="139"/>
      <c r="ADJ35" s="139"/>
      <c r="ADK35" s="139"/>
      <c r="ADL35" s="139"/>
      <c r="ADM35" s="139"/>
      <c r="ADN35" s="139"/>
      <c r="ADO35" s="139"/>
      <c r="ADP35" s="139"/>
      <c r="ADQ35" s="139"/>
      <c r="ADR35" s="139"/>
      <c r="ADS35" s="139"/>
      <c r="ADT35" s="139"/>
      <c r="ADU35" s="139"/>
      <c r="ADV35" s="139"/>
      <c r="ADW35" s="139"/>
      <c r="ADX35" s="139"/>
      <c r="ADY35" s="139"/>
      <c r="ADZ35" s="139"/>
      <c r="AEA35" s="139"/>
      <c r="AEB35" s="139"/>
      <c r="AEC35" s="139"/>
      <c r="AED35" s="139"/>
      <c r="AEE35" s="139"/>
      <c r="AEF35" s="139"/>
      <c r="AEG35" s="139"/>
      <c r="AEH35" s="139"/>
      <c r="AEI35" s="139"/>
      <c r="AEJ35" s="139"/>
      <c r="AEK35" s="139"/>
      <c r="AEL35" s="139"/>
      <c r="AEM35" s="139"/>
      <c r="AEN35" s="139"/>
      <c r="AEO35" s="139"/>
      <c r="AEP35" s="139"/>
      <c r="AEQ35" s="139"/>
      <c r="AER35" s="139"/>
      <c r="AES35" s="139"/>
      <c r="AET35" s="139"/>
      <c r="AEU35" s="139"/>
      <c r="AEV35" s="139"/>
      <c r="AEW35" s="139"/>
      <c r="AEX35" s="139"/>
      <c r="AEY35" s="139"/>
      <c r="AEZ35" s="139"/>
      <c r="AFA35" s="139"/>
      <c r="AFB35" s="139"/>
      <c r="AFC35" s="139"/>
      <c r="AFD35" s="139"/>
      <c r="AFE35" s="139"/>
      <c r="AFF35" s="139"/>
      <c r="AFG35" s="139"/>
      <c r="AFH35" s="139"/>
      <c r="AFI35" s="139"/>
      <c r="AFJ35" s="139"/>
      <c r="AFK35" s="139"/>
      <c r="AFL35" s="139"/>
      <c r="AFM35" s="139"/>
      <c r="AFN35" s="139"/>
      <c r="AFO35" s="139"/>
      <c r="AFP35" s="139"/>
      <c r="AFQ35" s="139"/>
      <c r="AFR35" s="139"/>
      <c r="AFS35" s="139"/>
      <c r="AFT35" s="139"/>
      <c r="AFU35" s="139"/>
      <c r="AFV35" s="139"/>
      <c r="AFW35" s="139"/>
      <c r="AFX35" s="139"/>
      <c r="AFY35" s="139"/>
      <c r="AFZ35" s="139"/>
      <c r="AGA35" s="139"/>
      <c r="AGB35" s="139"/>
      <c r="AGC35" s="139"/>
      <c r="AGD35" s="139"/>
      <c r="AGE35" s="139"/>
      <c r="AGF35" s="139"/>
      <c r="AGG35" s="139"/>
      <c r="AGH35" s="139"/>
      <c r="AGI35" s="139"/>
      <c r="AGJ35" s="139"/>
      <c r="AGK35" s="139"/>
      <c r="AGL35" s="139"/>
      <c r="AGM35" s="139"/>
      <c r="AGN35" s="139"/>
      <c r="AGO35" s="139"/>
      <c r="AGP35" s="139"/>
      <c r="AGQ35" s="139"/>
      <c r="AGR35" s="139"/>
      <c r="AGS35" s="139"/>
      <c r="AGT35" s="139"/>
      <c r="AGU35" s="139"/>
      <c r="AGV35" s="139"/>
      <c r="AGW35" s="139"/>
      <c r="AGX35" s="139"/>
      <c r="AGY35" s="139"/>
      <c r="AGZ35" s="139"/>
      <c r="AHA35" s="139"/>
      <c r="AHB35" s="139"/>
      <c r="AHC35" s="139"/>
      <c r="AHD35" s="139"/>
      <c r="AHE35" s="139"/>
      <c r="AHF35" s="139"/>
      <c r="AHG35" s="139"/>
      <c r="AHH35" s="139"/>
      <c r="AHI35" s="139"/>
      <c r="AHJ35" s="139"/>
      <c r="AHK35" s="139"/>
      <c r="AHL35" s="139"/>
      <c r="AHM35" s="139"/>
      <c r="AHN35" s="139"/>
      <c r="AHO35" s="139"/>
      <c r="AHP35" s="139"/>
      <c r="AHQ35" s="139"/>
      <c r="AHR35" s="139"/>
      <c r="AHS35" s="139"/>
      <c r="AHT35" s="139"/>
      <c r="AHU35" s="139"/>
      <c r="AHV35" s="139"/>
      <c r="AHW35" s="139"/>
      <c r="AHX35" s="139"/>
      <c r="AHY35" s="139"/>
      <c r="AHZ35" s="139"/>
      <c r="AIA35" s="139"/>
      <c r="AIB35" s="139"/>
      <c r="AIC35" s="139"/>
      <c r="AID35" s="139"/>
      <c r="AIE35" s="139"/>
      <c r="AIF35" s="139"/>
      <c r="AIG35" s="139"/>
      <c r="AIH35" s="139"/>
      <c r="AII35" s="139"/>
      <c r="AIJ35" s="139"/>
      <c r="AIK35" s="139"/>
      <c r="AIL35" s="139"/>
      <c r="AIM35" s="139"/>
      <c r="AIN35" s="139"/>
      <c r="AIO35" s="139"/>
      <c r="AIP35" s="139"/>
      <c r="AIQ35" s="139"/>
      <c r="AIR35" s="139"/>
      <c r="AIS35" s="139"/>
      <c r="AIT35" s="139"/>
      <c r="AIU35" s="139"/>
      <c r="AIV35" s="139"/>
      <c r="AIW35" s="139"/>
      <c r="AIX35" s="139"/>
      <c r="AIY35" s="139"/>
      <c r="AIZ35" s="139"/>
      <c r="AJA35" s="139"/>
      <c r="AJB35" s="139"/>
      <c r="AJC35" s="139"/>
      <c r="AJD35" s="139"/>
      <c r="AJE35" s="139"/>
      <c r="AJF35" s="139"/>
      <c r="AJG35" s="139"/>
      <c r="AJH35" s="139"/>
      <c r="AJI35" s="139"/>
      <c r="AJJ35" s="139"/>
      <c r="AJK35" s="139"/>
      <c r="AJL35" s="139"/>
      <c r="AJM35" s="139"/>
      <c r="AJN35" s="139"/>
      <c r="AJO35" s="139"/>
      <c r="AJP35" s="139"/>
      <c r="AJQ35" s="139"/>
      <c r="AJR35" s="139"/>
      <c r="AJS35" s="139"/>
      <c r="AJT35" s="139"/>
      <c r="AJU35" s="139"/>
      <c r="AJV35" s="139"/>
      <c r="AJW35" s="139"/>
      <c r="AJX35" s="139"/>
      <c r="AJY35" s="139"/>
      <c r="AJZ35" s="139"/>
      <c r="AKA35" s="139"/>
      <c r="AKB35" s="139"/>
      <c r="AKC35" s="139"/>
      <c r="AKD35" s="139"/>
      <c r="AKE35" s="139"/>
      <c r="AKF35" s="139"/>
      <c r="AKG35" s="139"/>
      <c r="AKH35" s="139"/>
      <c r="AKI35" s="139"/>
      <c r="AKJ35" s="139"/>
      <c r="AKK35" s="139"/>
      <c r="AKL35" s="139"/>
      <c r="AKM35" s="139"/>
      <c r="AKN35" s="139"/>
      <c r="AKO35" s="139"/>
      <c r="AKP35" s="139"/>
      <c r="AKQ35" s="139"/>
      <c r="AKR35" s="139"/>
      <c r="AKS35" s="139"/>
      <c r="AKT35" s="139"/>
      <c r="AKU35" s="139"/>
      <c r="AKV35" s="139"/>
      <c r="AKW35" s="139"/>
      <c r="AKX35" s="139"/>
      <c r="AKY35" s="139"/>
      <c r="AKZ35" s="139"/>
      <c r="ALA35" s="139"/>
      <c r="ALB35" s="139"/>
      <c r="ALC35" s="139"/>
      <c r="ALD35" s="139"/>
      <c r="ALE35" s="139"/>
      <c r="ALF35" s="139"/>
      <c r="ALG35" s="139"/>
      <c r="ALH35" s="139"/>
      <c r="ALI35" s="139"/>
      <c r="ALJ35" s="139"/>
      <c r="ALK35" s="139"/>
      <c r="ALL35" s="139"/>
      <c r="ALM35" s="139"/>
      <c r="ALN35" s="139"/>
      <c r="ALO35" s="139"/>
      <c r="ALP35" s="139"/>
      <c r="ALQ35" s="139"/>
      <c r="ALR35" s="139"/>
      <c r="ALS35" s="139"/>
      <c r="ALT35" s="139"/>
      <c r="ALU35" s="139"/>
      <c r="ALV35" s="139"/>
      <c r="ALW35" s="139"/>
      <c r="ALX35" s="139"/>
      <c r="ALY35" s="139"/>
      <c r="ALZ35" s="139"/>
      <c r="AMA35" s="139"/>
      <c r="AMB35" s="139"/>
      <c r="AMC35" s="139"/>
      <c r="AMD35" s="139"/>
      <c r="AME35" s="139"/>
      <c r="AMF35" s="139"/>
      <c r="AMG35" s="139"/>
      <c r="AMH35" s="139"/>
      <c r="AMI35" s="139"/>
      <c r="AMJ35" s="139"/>
    </row>
    <row r="36" spans="1:1024" s="140" customFormat="1" x14ac:dyDescent="0.25">
      <c r="A36" s="209" t="s">
        <v>29</v>
      </c>
      <c r="B36" s="209"/>
      <c r="C36" s="210" t="s">
        <v>30</v>
      </c>
      <c r="D36" s="210"/>
      <c r="E36" s="210"/>
      <c r="F36" s="211" t="s">
        <v>31</v>
      </c>
      <c r="G36" s="211"/>
      <c r="H36" s="210" t="s">
        <v>32</v>
      </c>
      <c r="I36" s="210"/>
      <c r="J36" s="210"/>
      <c r="K36" s="210"/>
      <c r="L36" s="210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39"/>
      <c r="EL36" s="139"/>
      <c r="EM36" s="139"/>
      <c r="EN36" s="139"/>
      <c r="EO36" s="139"/>
      <c r="EP36" s="139"/>
      <c r="EQ36" s="139"/>
      <c r="ER36" s="139"/>
      <c r="ES36" s="139"/>
      <c r="ET36" s="139"/>
      <c r="EU36" s="139"/>
      <c r="EV36" s="139"/>
      <c r="EW36" s="139"/>
      <c r="EX36" s="139"/>
      <c r="EY36" s="139"/>
      <c r="EZ36" s="139"/>
      <c r="FA36" s="139"/>
      <c r="FB36" s="139"/>
      <c r="FC36" s="139"/>
      <c r="FD36" s="139"/>
      <c r="FE36" s="139"/>
      <c r="FF36" s="139"/>
      <c r="FG36" s="139"/>
      <c r="FH36" s="139"/>
      <c r="FI36" s="139"/>
      <c r="FJ36" s="139"/>
      <c r="FK36" s="139"/>
      <c r="FL36" s="139"/>
      <c r="FM36" s="139"/>
      <c r="FN36" s="139"/>
      <c r="FO36" s="139"/>
      <c r="FP36" s="139"/>
      <c r="FQ36" s="139"/>
      <c r="FR36" s="139"/>
      <c r="FS36" s="139"/>
      <c r="FT36" s="139"/>
      <c r="FU36" s="139"/>
      <c r="FV36" s="139"/>
      <c r="FW36" s="139"/>
      <c r="FX36" s="139"/>
      <c r="FY36" s="139"/>
      <c r="FZ36" s="139"/>
      <c r="GA36" s="139"/>
      <c r="GB36" s="139"/>
      <c r="GC36" s="139"/>
      <c r="GD36" s="139"/>
      <c r="GE36" s="139"/>
      <c r="GF36" s="139"/>
      <c r="GG36" s="139"/>
      <c r="GH36" s="139"/>
      <c r="GI36" s="139"/>
      <c r="GJ36" s="139"/>
      <c r="GK36" s="139"/>
      <c r="GL36" s="139"/>
      <c r="GM36" s="139"/>
      <c r="GN36" s="139"/>
      <c r="GO36" s="139"/>
      <c r="GP36" s="139"/>
      <c r="GQ36" s="139"/>
      <c r="GR36" s="139"/>
      <c r="GS36" s="139"/>
      <c r="GT36" s="139"/>
      <c r="GU36" s="139"/>
      <c r="GV36" s="139"/>
      <c r="GW36" s="139"/>
      <c r="GX36" s="139"/>
      <c r="GY36" s="139"/>
      <c r="GZ36" s="139"/>
      <c r="HA36" s="139"/>
      <c r="HB36" s="139"/>
      <c r="HC36" s="139"/>
      <c r="HD36" s="139"/>
      <c r="HE36" s="139"/>
      <c r="HF36" s="139"/>
      <c r="HG36" s="139"/>
      <c r="HH36" s="139"/>
      <c r="HI36" s="139"/>
      <c r="HJ36" s="139"/>
      <c r="HK36" s="139"/>
      <c r="HL36" s="139"/>
      <c r="HM36" s="139"/>
      <c r="HN36" s="139"/>
      <c r="HO36" s="139"/>
      <c r="HP36" s="139"/>
      <c r="HQ36" s="139"/>
      <c r="HR36" s="139"/>
      <c r="HS36" s="139"/>
      <c r="HT36" s="139"/>
      <c r="HU36" s="139"/>
      <c r="HV36" s="139"/>
      <c r="HW36" s="139"/>
      <c r="HX36" s="139"/>
      <c r="HY36" s="139"/>
      <c r="HZ36" s="139"/>
      <c r="IA36" s="139"/>
      <c r="IB36" s="139"/>
      <c r="IC36" s="139"/>
      <c r="ID36" s="139"/>
      <c r="IE36" s="139"/>
      <c r="IF36" s="139"/>
      <c r="IG36" s="139"/>
      <c r="IH36" s="139"/>
      <c r="II36" s="139"/>
      <c r="IJ36" s="139"/>
      <c r="IK36" s="139"/>
      <c r="IL36" s="139"/>
      <c r="IM36" s="139"/>
      <c r="IN36" s="139"/>
      <c r="IO36" s="139"/>
      <c r="IP36" s="139"/>
      <c r="IQ36" s="139"/>
      <c r="IR36" s="139"/>
      <c r="IS36" s="139"/>
      <c r="IT36" s="139"/>
      <c r="IU36" s="139"/>
      <c r="IV36" s="139"/>
      <c r="IW36" s="139"/>
      <c r="IX36" s="139"/>
      <c r="IY36" s="139"/>
      <c r="IZ36" s="139"/>
      <c r="JA36" s="139"/>
      <c r="JB36" s="139"/>
      <c r="JC36" s="139"/>
      <c r="JD36" s="139"/>
      <c r="JE36" s="139"/>
      <c r="JF36" s="139"/>
      <c r="JG36" s="139"/>
      <c r="JH36" s="139"/>
      <c r="JI36" s="139"/>
      <c r="JJ36" s="139"/>
      <c r="JK36" s="139"/>
      <c r="JL36" s="139"/>
      <c r="JM36" s="139"/>
      <c r="JN36" s="139"/>
      <c r="JO36" s="139"/>
      <c r="JP36" s="139"/>
      <c r="JQ36" s="139"/>
      <c r="JR36" s="139"/>
      <c r="JS36" s="139"/>
      <c r="JT36" s="139"/>
      <c r="JU36" s="139"/>
      <c r="JV36" s="139"/>
      <c r="JW36" s="139"/>
      <c r="JX36" s="139"/>
      <c r="JY36" s="139"/>
      <c r="JZ36" s="139"/>
      <c r="KA36" s="139"/>
      <c r="KB36" s="139"/>
      <c r="KC36" s="139"/>
      <c r="KD36" s="139"/>
      <c r="KE36" s="139"/>
      <c r="KF36" s="139"/>
      <c r="KG36" s="139"/>
      <c r="KH36" s="139"/>
      <c r="KI36" s="139"/>
      <c r="KJ36" s="139"/>
      <c r="KK36" s="139"/>
      <c r="KL36" s="139"/>
      <c r="KM36" s="139"/>
      <c r="KN36" s="139"/>
      <c r="KO36" s="139"/>
      <c r="KP36" s="139"/>
      <c r="KQ36" s="139"/>
      <c r="KR36" s="139"/>
      <c r="KS36" s="139"/>
      <c r="KT36" s="139"/>
      <c r="KU36" s="139"/>
      <c r="KV36" s="139"/>
      <c r="KW36" s="139"/>
      <c r="KX36" s="139"/>
      <c r="KY36" s="139"/>
      <c r="KZ36" s="139"/>
      <c r="LA36" s="139"/>
      <c r="LB36" s="139"/>
      <c r="LC36" s="139"/>
      <c r="LD36" s="139"/>
      <c r="LE36" s="139"/>
      <c r="LF36" s="139"/>
      <c r="LG36" s="139"/>
      <c r="LH36" s="139"/>
      <c r="LI36" s="139"/>
      <c r="LJ36" s="139"/>
      <c r="LK36" s="139"/>
      <c r="LL36" s="139"/>
      <c r="LM36" s="139"/>
      <c r="LN36" s="139"/>
      <c r="LO36" s="139"/>
      <c r="LP36" s="139"/>
      <c r="LQ36" s="139"/>
      <c r="LR36" s="139"/>
      <c r="LS36" s="139"/>
      <c r="LT36" s="139"/>
      <c r="LU36" s="139"/>
      <c r="LV36" s="139"/>
      <c r="LW36" s="139"/>
      <c r="LX36" s="139"/>
      <c r="LY36" s="139"/>
      <c r="LZ36" s="139"/>
      <c r="MA36" s="139"/>
      <c r="MB36" s="139"/>
      <c r="MC36" s="139"/>
      <c r="MD36" s="139"/>
      <c r="ME36" s="139"/>
      <c r="MF36" s="139"/>
      <c r="MG36" s="139"/>
      <c r="MH36" s="139"/>
      <c r="MI36" s="139"/>
      <c r="MJ36" s="139"/>
      <c r="MK36" s="139"/>
      <c r="ML36" s="139"/>
      <c r="MM36" s="139"/>
      <c r="MN36" s="139"/>
      <c r="MO36" s="139"/>
      <c r="MP36" s="139"/>
      <c r="MQ36" s="139"/>
      <c r="MR36" s="139"/>
      <c r="MS36" s="139"/>
      <c r="MT36" s="139"/>
      <c r="MU36" s="139"/>
      <c r="MV36" s="139"/>
      <c r="MW36" s="139"/>
      <c r="MX36" s="139"/>
      <c r="MY36" s="139"/>
      <c r="MZ36" s="139"/>
      <c r="NA36" s="139"/>
      <c r="NB36" s="139"/>
      <c r="NC36" s="139"/>
      <c r="ND36" s="139"/>
      <c r="NE36" s="139"/>
      <c r="NF36" s="139"/>
      <c r="NG36" s="139"/>
      <c r="NH36" s="139"/>
      <c r="NI36" s="139"/>
      <c r="NJ36" s="139"/>
      <c r="NK36" s="139"/>
      <c r="NL36" s="139"/>
      <c r="NM36" s="139"/>
      <c r="NN36" s="139"/>
      <c r="NO36" s="139"/>
      <c r="NP36" s="139"/>
      <c r="NQ36" s="139"/>
      <c r="NR36" s="139"/>
      <c r="NS36" s="139"/>
      <c r="NT36" s="139"/>
      <c r="NU36" s="139"/>
      <c r="NV36" s="139"/>
      <c r="NW36" s="139"/>
      <c r="NX36" s="139"/>
      <c r="NY36" s="139"/>
      <c r="NZ36" s="139"/>
      <c r="OA36" s="139"/>
      <c r="OB36" s="139"/>
      <c r="OC36" s="139"/>
      <c r="OD36" s="139"/>
      <c r="OE36" s="139"/>
      <c r="OF36" s="139"/>
      <c r="OG36" s="139"/>
      <c r="OH36" s="139"/>
      <c r="OI36" s="139"/>
      <c r="OJ36" s="139"/>
      <c r="OK36" s="139"/>
      <c r="OL36" s="139"/>
      <c r="OM36" s="139"/>
      <c r="ON36" s="139"/>
      <c r="OO36" s="139"/>
      <c r="OP36" s="139"/>
      <c r="OQ36" s="139"/>
      <c r="OR36" s="139"/>
      <c r="OS36" s="139"/>
      <c r="OT36" s="139"/>
      <c r="OU36" s="139"/>
      <c r="OV36" s="139"/>
      <c r="OW36" s="139"/>
      <c r="OX36" s="139"/>
      <c r="OY36" s="139"/>
      <c r="OZ36" s="139"/>
      <c r="PA36" s="139"/>
      <c r="PB36" s="139"/>
      <c r="PC36" s="139"/>
      <c r="PD36" s="139"/>
      <c r="PE36" s="139"/>
      <c r="PF36" s="139"/>
      <c r="PG36" s="139"/>
      <c r="PH36" s="139"/>
      <c r="PI36" s="139"/>
      <c r="PJ36" s="139"/>
      <c r="PK36" s="139"/>
      <c r="PL36" s="139"/>
      <c r="PM36" s="139"/>
      <c r="PN36" s="139"/>
      <c r="PO36" s="139"/>
      <c r="PP36" s="139"/>
      <c r="PQ36" s="139"/>
      <c r="PR36" s="139"/>
      <c r="PS36" s="139"/>
      <c r="PT36" s="139"/>
      <c r="PU36" s="139"/>
      <c r="PV36" s="139"/>
      <c r="PW36" s="139"/>
      <c r="PX36" s="139"/>
      <c r="PY36" s="139"/>
      <c r="PZ36" s="139"/>
      <c r="QA36" s="139"/>
      <c r="QB36" s="139"/>
      <c r="QC36" s="139"/>
      <c r="QD36" s="139"/>
      <c r="QE36" s="139"/>
      <c r="QF36" s="139"/>
      <c r="QG36" s="139"/>
      <c r="QH36" s="139"/>
      <c r="QI36" s="139"/>
      <c r="QJ36" s="139"/>
      <c r="QK36" s="139"/>
      <c r="QL36" s="139"/>
      <c r="QM36" s="139"/>
      <c r="QN36" s="139"/>
      <c r="QO36" s="139"/>
      <c r="QP36" s="139"/>
      <c r="QQ36" s="139"/>
      <c r="QR36" s="139"/>
      <c r="QS36" s="139"/>
      <c r="QT36" s="139"/>
      <c r="QU36" s="139"/>
      <c r="QV36" s="139"/>
      <c r="QW36" s="139"/>
      <c r="QX36" s="139"/>
      <c r="QY36" s="139"/>
      <c r="QZ36" s="139"/>
      <c r="RA36" s="139"/>
      <c r="RB36" s="139"/>
      <c r="RC36" s="139"/>
      <c r="RD36" s="139"/>
      <c r="RE36" s="139"/>
      <c r="RF36" s="139"/>
      <c r="RG36" s="139"/>
      <c r="RH36" s="139"/>
      <c r="RI36" s="139"/>
      <c r="RJ36" s="139"/>
      <c r="RK36" s="139"/>
      <c r="RL36" s="139"/>
      <c r="RM36" s="139"/>
      <c r="RN36" s="139"/>
      <c r="RO36" s="139"/>
      <c r="RP36" s="139"/>
      <c r="RQ36" s="139"/>
      <c r="RR36" s="139"/>
      <c r="RS36" s="139"/>
      <c r="RT36" s="139"/>
      <c r="RU36" s="139"/>
      <c r="RV36" s="139"/>
      <c r="RW36" s="139"/>
      <c r="RX36" s="139"/>
      <c r="RY36" s="139"/>
      <c r="RZ36" s="139"/>
      <c r="SA36" s="139"/>
      <c r="SB36" s="139"/>
      <c r="SC36" s="139"/>
      <c r="SD36" s="139"/>
      <c r="SE36" s="139"/>
      <c r="SF36" s="139"/>
      <c r="SG36" s="139"/>
      <c r="SH36" s="139"/>
      <c r="SI36" s="139"/>
      <c r="SJ36" s="139"/>
      <c r="SK36" s="139"/>
      <c r="SL36" s="139"/>
      <c r="SM36" s="139"/>
      <c r="SN36" s="139"/>
      <c r="SO36" s="139"/>
      <c r="SP36" s="139"/>
      <c r="SQ36" s="139"/>
      <c r="SR36" s="139"/>
      <c r="SS36" s="139"/>
      <c r="ST36" s="139"/>
      <c r="SU36" s="139"/>
      <c r="SV36" s="139"/>
      <c r="SW36" s="139"/>
      <c r="SX36" s="139"/>
      <c r="SY36" s="139"/>
      <c r="SZ36" s="139"/>
      <c r="TA36" s="139"/>
      <c r="TB36" s="139"/>
      <c r="TC36" s="139"/>
      <c r="TD36" s="139"/>
      <c r="TE36" s="139"/>
      <c r="TF36" s="139"/>
      <c r="TG36" s="139"/>
      <c r="TH36" s="139"/>
      <c r="TI36" s="139"/>
      <c r="TJ36" s="139"/>
      <c r="TK36" s="139"/>
      <c r="TL36" s="139"/>
      <c r="TM36" s="139"/>
      <c r="TN36" s="139"/>
      <c r="TO36" s="139"/>
      <c r="TP36" s="139"/>
      <c r="TQ36" s="139"/>
      <c r="TR36" s="139"/>
      <c r="TS36" s="139"/>
      <c r="TT36" s="139"/>
      <c r="TU36" s="139"/>
      <c r="TV36" s="139"/>
      <c r="TW36" s="139"/>
      <c r="TX36" s="139"/>
      <c r="TY36" s="139"/>
      <c r="TZ36" s="139"/>
      <c r="UA36" s="139"/>
      <c r="UB36" s="139"/>
      <c r="UC36" s="139"/>
      <c r="UD36" s="139"/>
      <c r="UE36" s="139"/>
      <c r="UF36" s="139"/>
      <c r="UG36" s="139"/>
      <c r="UH36" s="139"/>
      <c r="UI36" s="139"/>
      <c r="UJ36" s="139"/>
      <c r="UK36" s="139"/>
      <c r="UL36" s="139"/>
      <c r="UM36" s="139"/>
      <c r="UN36" s="139"/>
      <c r="UO36" s="139"/>
      <c r="UP36" s="139"/>
      <c r="UQ36" s="139"/>
      <c r="UR36" s="139"/>
      <c r="US36" s="139"/>
      <c r="UT36" s="139"/>
      <c r="UU36" s="139"/>
      <c r="UV36" s="139"/>
      <c r="UW36" s="139"/>
      <c r="UX36" s="139"/>
      <c r="UY36" s="139"/>
      <c r="UZ36" s="139"/>
      <c r="VA36" s="139"/>
      <c r="VB36" s="139"/>
      <c r="VC36" s="139"/>
      <c r="VD36" s="139"/>
      <c r="VE36" s="139"/>
      <c r="VF36" s="139"/>
      <c r="VG36" s="139"/>
      <c r="VH36" s="139"/>
      <c r="VI36" s="139"/>
      <c r="VJ36" s="139"/>
      <c r="VK36" s="139"/>
      <c r="VL36" s="139"/>
      <c r="VM36" s="139"/>
      <c r="VN36" s="139"/>
      <c r="VO36" s="139"/>
      <c r="VP36" s="139"/>
      <c r="VQ36" s="139"/>
      <c r="VR36" s="139"/>
      <c r="VS36" s="139"/>
      <c r="VT36" s="139"/>
      <c r="VU36" s="139"/>
      <c r="VV36" s="139"/>
      <c r="VW36" s="139"/>
      <c r="VX36" s="139"/>
      <c r="VY36" s="139"/>
      <c r="VZ36" s="139"/>
      <c r="WA36" s="139"/>
      <c r="WB36" s="139"/>
      <c r="WC36" s="139"/>
      <c r="WD36" s="139"/>
      <c r="WE36" s="139"/>
      <c r="WF36" s="139"/>
      <c r="WG36" s="139"/>
      <c r="WH36" s="139"/>
      <c r="WI36" s="139"/>
      <c r="WJ36" s="139"/>
      <c r="WK36" s="139"/>
      <c r="WL36" s="139"/>
      <c r="WM36" s="139"/>
      <c r="WN36" s="139"/>
      <c r="WO36" s="139"/>
      <c r="WP36" s="139"/>
      <c r="WQ36" s="139"/>
      <c r="WR36" s="139"/>
      <c r="WS36" s="139"/>
      <c r="WT36" s="139"/>
      <c r="WU36" s="139"/>
      <c r="WV36" s="139"/>
      <c r="WW36" s="139"/>
      <c r="WX36" s="139"/>
      <c r="WY36" s="139"/>
      <c r="WZ36" s="139"/>
      <c r="XA36" s="139"/>
      <c r="XB36" s="139"/>
      <c r="XC36" s="139"/>
      <c r="XD36" s="139"/>
      <c r="XE36" s="139"/>
      <c r="XF36" s="139"/>
      <c r="XG36" s="139"/>
      <c r="XH36" s="139"/>
      <c r="XI36" s="139"/>
      <c r="XJ36" s="139"/>
      <c r="XK36" s="139"/>
      <c r="XL36" s="139"/>
      <c r="XM36" s="139"/>
      <c r="XN36" s="139"/>
      <c r="XO36" s="139"/>
      <c r="XP36" s="139"/>
      <c r="XQ36" s="139"/>
      <c r="XR36" s="139"/>
      <c r="XS36" s="139"/>
      <c r="XT36" s="139"/>
      <c r="XU36" s="139"/>
      <c r="XV36" s="139"/>
      <c r="XW36" s="139"/>
      <c r="XX36" s="139"/>
      <c r="XY36" s="139"/>
      <c r="XZ36" s="139"/>
      <c r="YA36" s="139"/>
      <c r="YB36" s="139"/>
      <c r="YC36" s="139"/>
      <c r="YD36" s="139"/>
      <c r="YE36" s="139"/>
      <c r="YF36" s="139"/>
      <c r="YG36" s="139"/>
      <c r="YH36" s="139"/>
      <c r="YI36" s="139"/>
      <c r="YJ36" s="139"/>
      <c r="YK36" s="139"/>
      <c r="YL36" s="139"/>
      <c r="YM36" s="139"/>
      <c r="YN36" s="139"/>
      <c r="YO36" s="139"/>
      <c r="YP36" s="139"/>
      <c r="YQ36" s="139"/>
      <c r="YR36" s="139"/>
      <c r="YS36" s="139"/>
      <c r="YT36" s="139"/>
      <c r="YU36" s="139"/>
      <c r="YV36" s="139"/>
      <c r="YW36" s="139"/>
      <c r="YX36" s="139"/>
      <c r="YY36" s="139"/>
      <c r="YZ36" s="139"/>
      <c r="ZA36" s="139"/>
      <c r="ZB36" s="139"/>
      <c r="ZC36" s="139"/>
      <c r="ZD36" s="139"/>
      <c r="ZE36" s="139"/>
      <c r="ZF36" s="139"/>
      <c r="ZG36" s="139"/>
      <c r="ZH36" s="139"/>
      <c r="ZI36" s="139"/>
      <c r="ZJ36" s="139"/>
      <c r="ZK36" s="139"/>
      <c r="ZL36" s="139"/>
      <c r="ZM36" s="139"/>
      <c r="ZN36" s="139"/>
      <c r="ZO36" s="139"/>
      <c r="ZP36" s="139"/>
      <c r="ZQ36" s="139"/>
      <c r="ZR36" s="139"/>
      <c r="ZS36" s="139"/>
      <c r="ZT36" s="139"/>
      <c r="ZU36" s="139"/>
      <c r="ZV36" s="139"/>
      <c r="ZW36" s="139"/>
      <c r="ZX36" s="139"/>
      <c r="ZY36" s="139"/>
      <c r="ZZ36" s="139"/>
      <c r="AAA36" s="139"/>
      <c r="AAB36" s="139"/>
      <c r="AAC36" s="139"/>
      <c r="AAD36" s="139"/>
      <c r="AAE36" s="139"/>
      <c r="AAF36" s="139"/>
      <c r="AAG36" s="139"/>
      <c r="AAH36" s="139"/>
      <c r="AAI36" s="139"/>
      <c r="AAJ36" s="139"/>
      <c r="AAK36" s="139"/>
      <c r="AAL36" s="139"/>
      <c r="AAM36" s="139"/>
      <c r="AAN36" s="139"/>
      <c r="AAO36" s="139"/>
      <c r="AAP36" s="139"/>
      <c r="AAQ36" s="139"/>
      <c r="AAR36" s="139"/>
      <c r="AAS36" s="139"/>
      <c r="AAT36" s="139"/>
      <c r="AAU36" s="139"/>
      <c r="AAV36" s="139"/>
      <c r="AAW36" s="139"/>
      <c r="AAX36" s="139"/>
      <c r="AAY36" s="139"/>
      <c r="AAZ36" s="139"/>
      <c r="ABA36" s="139"/>
      <c r="ABB36" s="139"/>
      <c r="ABC36" s="139"/>
      <c r="ABD36" s="139"/>
      <c r="ABE36" s="139"/>
      <c r="ABF36" s="139"/>
      <c r="ABG36" s="139"/>
      <c r="ABH36" s="139"/>
      <c r="ABI36" s="139"/>
      <c r="ABJ36" s="139"/>
      <c r="ABK36" s="139"/>
      <c r="ABL36" s="139"/>
      <c r="ABM36" s="139"/>
      <c r="ABN36" s="139"/>
      <c r="ABO36" s="139"/>
      <c r="ABP36" s="139"/>
      <c r="ABQ36" s="139"/>
      <c r="ABR36" s="139"/>
      <c r="ABS36" s="139"/>
      <c r="ABT36" s="139"/>
      <c r="ABU36" s="139"/>
      <c r="ABV36" s="139"/>
      <c r="ABW36" s="139"/>
      <c r="ABX36" s="139"/>
      <c r="ABY36" s="139"/>
      <c r="ABZ36" s="139"/>
      <c r="ACA36" s="139"/>
      <c r="ACB36" s="139"/>
      <c r="ACC36" s="139"/>
      <c r="ACD36" s="139"/>
      <c r="ACE36" s="139"/>
      <c r="ACF36" s="139"/>
      <c r="ACG36" s="139"/>
      <c r="ACH36" s="139"/>
      <c r="ACI36" s="139"/>
      <c r="ACJ36" s="139"/>
      <c r="ACK36" s="139"/>
      <c r="ACL36" s="139"/>
      <c r="ACM36" s="139"/>
      <c r="ACN36" s="139"/>
      <c r="ACO36" s="139"/>
      <c r="ACP36" s="139"/>
      <c r="ACQ36" s="139"/>
      <c r="ACR36" s="139"/>
      <c r="ACS36" s="139"/>
      <c r="ACT36" s="139"/>
      <c r="ACU36" s="139"/>
      <c r="ACV36" s="139"/>
      <c r="ACW36" s="139"/>
      <c r="ACX36" s="139"/>
      <c r="ACY36" s="139"/>
      <c r="ACZ36" s="139"/>
      <c r="ADA36" s="139"/>
      <c r="ADB36" s="139"/>
      <c r="ADC36" s="139"/>
      <c r="ADD36" s="139"/>
      <c r="ADE36" s="139"/>
      <c r="ADF36" s="139"/>
      <c r="ADG36" s="139"/>
      <c r="ADH36" s="139"/>
      <c r="ADI36" s="139"/>
      <c r="ADJ36" s="139"/>
      <c r="ADK36" s="139"/>
      <c r="ADL36" s="139"/>
      <c r="ADM36" s="139"/>
      <c r="ADN36" s="139"/>
      <c r="ADO36" s="139"/>
      <c r="ADP36" s="139"/>
      <c r="ADQ36" s="139"/>
      <c r="ADR36" s="139"/>
      <c r="ADS36" s="139"/>
      <c r="ADT36" s="139"/>
      <c r="ADU36" s="139"/>
      <c r="ADV36" s="139"/>
      <c r="ADW36" s="139"/>
      <c r="ADX36" s="139"/>
      <c r="ADY36" s="139"/>
      <c r="ADZ36" s="139"/>
      <c r="AEA36" s="139"/>
      <c r="AEB36" s="139"/>
      <c r="AEC36" s="139"/>
      <c r="AED36" s="139"/>
      <c r="AEE36" s="139"/>
      <c r="AEF36" s="139"/>
      <c r="AEG36" s="139"/>
      <c r="AEH36" s="139"/>
      <c r="AEI36" s="139"/>
      <c r="AEJ36" s="139"/>
      <c r="AEK36" s="139"/>
      <c r="AEL36" s="139"/>
      <c r="AEM36" s="139"/>
      <c r="AEN36" s="139"/>
      <c r="AEO36" s="139"/>
      <c r="AEP36" s="139"/>
      <c r="AEQ36" s="139"/>
      <c r="AER36" s="139"/>
      <c r="AES36" s="139"/>
      <c r="AET36" s="139"/>
      <c r="AEU36" s="139"/>
      <c r="AEV36" s="139"/>
      <c r="AEW36" s="139"/>
      <c r="AEX36" s="139"/>
      <c r="AEY36" s="139"/>
      <c r="AEZ36" s="139"/>
      <c r="AFA36" s="139"/>
      <c r="AFB36" s="139"/>
      <c r="AFC36" s="139"/>
      <c r="AFD36" s="139"/>
      <c r="AFE36" s="139"/>
      <c r="AFF36" s="139"/>
      <c r="AFG36" s="139"/>
      <c r="AFH36" s="139"/>
      <c r="AFI36" s="139"/>
      <c r="AFJ36" s="139"/>
      <c r="AFK36" s="139"/>
      <c r="AFL36" s="139"/>
      <c r="AFM36" s="139"/>
      <c r="AFN36" s="139"/>
      <c r="AFO36" s="139"/>
      <c r="AFP36" s="139"/>
      <c r="AFQ36" s="139"/>
      <c r="AFR36" s="139"/>
      <c r="AFS36" s="139"/>
      <c r="AFT36" s="139"/>
      <c r="AFU36" s="139"/>
      <c r="AFV36" s="139"/>
      <c r="AFW36" s="139"/>
      <c r="AFX36" s="139"/>
      <c r="AFY36" s="139"/>
      <c r="AFZ36" s="139"/>
      <c r="AGA36" s="139"/>
      <c r="AGB36" s="139"/>
      <c r="AGC36" s="139"/>
      <c r="AGD36" s="139"/>
      <c r="AGE36" s="139"/>
      <c r="AGF36" s="139"/>
      <c r="AGG36" s="139"/>
      <c r="AGH36" s="139"/>
      <c r="AGI36" s="139"/>
      <c r="AGJ36" s="139"/>
      <c r="AGK36" s="139"/>
      <c r="AGL36" s="139"/>
      <c r="AGM36" s="139"/>
      <c r="AGN36" s="139"/>
      <c r="AGO36" s="139"/>
      <c r="AGP36" s="139"/>
      <c r="AGQ36" s="139"/>
      <c r="AGR36" s="139"/>
      <c r="AGS36" s="139"/>
      <c r="AGT36" s="139"/>
      <c r="AGU36" s="139"/>
      <c r="AGV36" s="139"/>
      <c r="AGW36" s="139"/>
      <c r="AGX36" s="139"/>
      <c r="AGY36" s="139"/>
      <c r="AGZ36" s="139"/>
      <c r="AHA36" s="139"/>
      <c r="AHB36" s="139"/>
      <c r="AHC36" s="139"/>
      <c r="AHD36" s="139"/>
      <c r="AHE36" s="139"/>
      <c r="AHF36" s="139"/>
      <c r="AHG36" s="139"/>
      <c r="AHH36" s="139"/>
      <c r="AHI36" s="139"/>
      <c r="AHJ36" s="139"/>
      <c r="AHK36" s="139"/>
      <c r="AHL36" s="139"/>
      <c r="AHM36" s="139"/>
      <c r="AHN36" s="139"/>
      <c r="AHO36" s="139"/>
      <c r="AHP36" s="139"/>
      <c r="AHQ36" s="139"/>
      <c r="AHR36" s="139"/>
      <c r="AHS36" s="139"/>
      <c r="AHT36" s="139"/>
      <c r="AHU36" s="139"/>
      <c r="AHV36" s="139"/>
      <c r="AHW36" s="139"/>
      <c r="AHX36" s="139"/>
      <c r="AHY36" s="139"/>
      <c r="AHZ36" s="139"/>
      <c r="AIA36" s="139"/>
      <c r="AIB36" s="139"/>
      <c r="AIC36" s="139"/>
      <c r="AID36" s="139"/>
      <c r="AIE36" s="139"/>
      <c r="AIF36" s="139"/>
      <c r="AIG36" s="139"/>
      <c r="AIH36" s="139"/>
      <c r="AII36" s="139"/>
      <c r="AIJ36" s="139"/>
      <c r="AIK36" s="139"/>
      <c r="AIL36" s="139"/>
      <c r="AIM36" s="139"/>
      <c r="AIN36" s="139"/>
      <c r="AIO36" s="139"/>
      <c r="AIP36" s="139"/>
      <c r="AIQ36" s="139"/>
      <c r="AIR36" s="139"/>
      <c r="AIS36" s="139"/>
      <c r="AIT36" s="139"/>
      <c r="AIU36" s="139"/>
      <c r="AIV36" s="139"/>
      <c r="AIW36" s="139"/>
      <c r="AIX36" s="139"/>
      <c r="AIY36" s="139"/>
      <c r="AIZ36" s="139"/>
      <c r="AJA36" s="139"/>
      <c r="AJB36" s="139"/>
      <c r="AJC36" s="139"/>
      <c r="AJD36" s="139"/>
      <c r="AJE36" s="139"/>
      <c r="AJF36" s="139"/>
      <c r="AJG36" s="139"/>
      <c r="AJH36" s="139"/>
      <c r="AJI36" s="139"/>
      <c r="AJJ36" s="139"/>
      <c r="AJK36" s="139"/>
      <c r="AJL36" s="139"/>
      <c r="AJM36" s="139"/>
      <c r="AJN36" s="139"/>
      <c r="AJO36" s="139"/>
      <c r="AJP36" s="139"/>
      <c r="AJQ36" s="139"/>
      <c r="AJR36" s="139"/>
      <c r="AJS36" s="139"/>
      <c r="AJT36" s="139"/>
      <c r="AJU36" s="139"/>
      <c r="AJV36" s="139"/>
      <c r="AJW36" s="139"/>
      <c r="AJX36" s="139"/>
      <c r="AJY36" s="139"/>
      <c r="AJZ36" s="139"/>
      <c r="AKA36" s="139"/>
      <c r="AKB36" s="139"/>
      <c r="AKC36" s="139"/>
      <c r="AKD36" s="139"/>
      <c r="AKE36" s="139"/>
      <c r="AKF36" s="139"/>
      <c r="AKG36" s="139"/>
      <c r="AKH36" s="139"/>
      <c r="AKI36" s="139"/>
      <c r="AKJ36" s="139"/>
      <c r="AKK36" s="139"/>
      <c r="AKL36" s="139"/>
      <c r="AKM36" s="139"/>
      <c r="AKN36" s="139"/>
      <c r="AKO36" s="139"/>
      <c r="AKP36" s="139"/>
      <c r="AKQ36" s="139"/>
      <c r="AKR36" s="139"/>
      <c r="AKS36" s="139"/>
      <c r="AKT36" s="139"/>
      <c r="AKU36" s="139"/>
      <c r="AKV36" s="139"/>
      <c r="AKW36" s="139"/>
      <c r="AKX36" s="139"/>
      <c r="AKY36" s="139"/>
      <c r="AKZ36" s="139"/>
      <c r="ALA36" s="139"/>
      <c r="ALB36" s="139"/>
      <c r="ALC36" s="139"/>
      <c r="ALD36" s="139"/>
      <c r="ALE36" s="139"/>
      <c r="ALF36" s="139"/>
      <c r="ALG36" s="139"/>
      <c r="ALH36" s="139"/>
      <c r="ALI36" s="139"/>
      <c r="ALJ36" s="139"/>
      <c r="ALK36" s="139"/>
      <c r="ALL36" s="139"/>
      <c r="ALM36" s="139"/>
      <c r="ALN36" s="139"/>
      <c r="ALO36" s="139"/>
      <c r="ALP36" s="139"/>
      <c r="ALQ36" s="139"/>
      <c r="ALR36" s="139"/>
      <c r="ALS36" s="139"/>
      <c r="ALT36" s="139"/>
      <c r="ALU36" s="139"/>
      <c r="ALV36" s="139"/>
      <c r="ALW36" s="139"/>
      <c r="ALX36" s="139"/>
      <c r="ALY36" s="139"/>
      <c r="ALZ36" s="139"/>
      <c r="AMA36" s="139"/>
      <c r="AMB36" s="139"/>
      <c r="AMC36" s="139"/>
      <c r="AMD36" s="139"/>
      <c r="AME36" s="139"/>
      <c r="AMF36" s="139"/>
      <c r="AMG36" s="139"/>
      <c r="AMH36" s="139"/>
      <c r="AMI36" s="139"/>
      <c r="AMJ36" s="139"/>
    </row>
  </sheetData>
  <sheetProtection algorithmName="SHA-512" hashValue="/+Q9kyksrTSdXm7mftVB0Ju1dh2CQyPJVTE1SAmC0JLSmAQkMPnAZAIUIZBeMC/BPay5LJhQWhS2A6qfv6EqlQ==" saltValue="paqyyi4+K/xj45pGqvZirw==" spinCount="100000" sheet="1" objects="1" scenarios="1"/>
  <mergeCells count="16">
    <mergeCell ref="A24:L24"/>
    <mergeCell ref="A25:L25"/>
    <mergeCell ref="A27:L27"/>
    <mergeCell ref="A1:Y1"/>
    <mergeCell ref="A2:M2"/>
    <mergeCell ref="A3:L3"/>
    <mergeCell ref="B5:O5"/>
    <mergeCell ref="A23:Y23"/>
    <mergeCell ref="A26:L26"/>
    <mergeCell ref="A22:L22"/>
    <mergeCell ref="A29:L29"/>
    <mergeCell ref="A31:Y31"/>
    <mergeCell ref="A36:B36"/>
    <mergeCell ref="C36:E36"/>
    <mergeCell ref="F36:G36"/>
    <mergeCell ref="H36:L36"/>
  </mergeCells>
  <phoneticPr fontId="37" type="noConversion"/>
  <hyperlinks>
    <hyperlink ref="C36" r:id="rId1" xr:uid="{00000000-0004-0000-0100-000000000000}"/>
    <hyperlink ref="H36" r:id="rId2" xr:uid="{00000000-0004-0000-0100-000001000000}"/>
  </hyperlinks>
  <pageMargins left="0.25" right="0.25" top="0.75" bottom="0.75" header="0.51180555555555496" footer="0.51180555555555496"/>
  <pageSetup paperSize="9" firstPageNumber="0" fitToHeight="0" orientation="landscape" horizontalDpi="300" verticalDpi="300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J41"/>
  <sheetViews>
    <sheetView zoomScale="115" zoomScaleNormal="115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2" customWidth="1"/>
    <col min="3" max="3" width="13.28515625" style="1" customWidth="1"/>
    <col min="4" max="5" width="13.7109375" style="1" customWidth="1"/>
    <col min="6" max="9" width="13.5703125" style="1" customWidth="1"/>
    <col min="10" max="10" width="13.42578125" style="1" customWidth="1"/>
    <col min="11" max="11" width="13.5703125" style="1" customWidth="1"/>
    <col min="12" max="12" width="20.42578125" style="1" customWidth="1"/>
    <col min="13" max="13" width="10" style="1" customWidth="1"/>
    <col min="14" max="14" width="12.140625" style="1" customWidth="1"/>
    <col min="15" max="15" width="9" style="1" customWidth="1"/>
    <col min="16" max="16" width="13.5703125" style="1" customWidth="1"/>
    <col min="17" max="17" width="8.140625" style="1" customWidth="1"/>
    <col min="18" max="25" width="5" style="1" customWidth="1"/>
    <col min="26" max="1024" width="9.140625" style="1"/>
  </cols>
  <sheetData>
    <row r="1" spans="1:1024" s="140" customFormat="1" ht="18.75" x14ac:dyDescent="0.25">
      <c r="A1" s="213" t="s">
        <v>33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N1" s="139"/>
      <c r="CO1" s="139"/>
      <c r="CP1" s="139"/>
      <c r="CQ1" s="139"/>
      <c r="CR1" s="139"/>
      <c r="CS1" s="139"/>
      <c r="CT1" s="139"/>
      <c r="CU1" s="139"/>
      <c r="CV1" s="139"/>
      <c r="CW1" s="139"/>
      <c r="CX1" s="139"/>
      <c r="CY1" s="139"/>
      <c r="CZ1" s="139"/>
      <c r="DA1" s="139"/>
      <c r="DB1" s="139"/>
      <c r="DC1" s="139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39"/>
      <c r="DU1" s="139"/>
      <c r="DV1" s="139"/>
      <c r="DW1" s="139"/>
      <c r="DX1" s="139"/>
      <c r="DY1" s="139"/>
      <c r="DZ1" s="139"/>
      <c r="EA1" s="139"/>
      <c r="EB1" s="139"/>
      <c r="EC1" s="139"/>
      <c r="ED1" s="139"/>
      <c r="EE1" s="139"/>
      <c r="EF1" s="139"/>
      <c r="EG1" s="139"/>
      <c r="EH1" s="139"/>
      <c r="EI1" s="139"/>
      <c r="EJ1" s="139"/>
      <c r="EK1" s="139"/>
      <c r="EL1" s="139"/>
      <c r="EM1" s="139"/>
      <c r="EN1" s="139"/>
      <c r="EO1" s="139"/>
      <c r="EP1" s="139"/>
      <c r="EQ1" s="139"/>
      <c r="ER1" s="139"/>
      <c r="ES1" s="139"/>
      <c r="ET1" s="139"/>
      <c r="EU1" s="139"/>
      <c r="EV1" s="139"/>
      <c r="EW1" s="139"/>
      <c r="EX1" s="139"/>
      <c r="EY1" s="139"/>
      <c r="EZ1" s="139"/>
      <c r="FA1" s="139"/>
      <c r="FB1" s="139"/>
      <c r="FC1" s="139"/>
      <c r="FD1" s="139"/>
      <c r="FE1" s="139"/>
      <c r="FF1" s="139"/>
      <c r="FG1" s="139"/>
      <c r="FH1" s="139"/>
      <c r="FI1" s="139"/>
      <c r="FJ1" s="139"/>
      <c r="FK1" s="139"/>
      <c r="FL1" s="139"/>
      <c r="FM1" s="139"/>
      <c r="FN1" s="139"/>
      <c r="FO1" s="139"/>
      <c r="FP1" s="139"/>
      <c r="FQ1" s="139"/>
      <c r="FR1" s="139"/>
      <c r="FS1" s="139"/>
      <c r="FT1" s="139"/>
      <c r="FU1" s="139"/>
      <c r="FV1" s="139"/>
      <c r="FW1" s="139"/>
      <c r="FX1" s="139"/>
      <c r="FY1" s="139"/>
      <c r="FZ1" s="139"/>
      <c r="GA1" s="139"/>
      <c r="GB1" s="139"/>
      <c r="GC1" s="139"/>
      <c r="GD1" s="139"/>
      <c r="GE1" s="139"/>
      <c r="GF1" s="139"/>
      <c r="GG1" s="139"/>
      <c r="GH1" s="139"/>
      <c r="GI1" s="139"/>
      <c r="GJ1" s="139"/>
      <c r="GK1" s="139"/>
      <c r="GL1" s="139"/>
      <c r="GM1" s="139"/>
      <c r="GN1" s="139"/>
      <c r="GO1" s="139"/>
      <c r="GP1" s="139"/>
      <c r="GQ1" s="139"/>
      <c r="GR1" s="139"/>
      <c r="GS1" s="139"/>
      <c r="GT1" s="139"/>
      <c r="GU1" s="139"/>
      <c r="GV1" s="139"/>
      <c r="GW1" s="139"/>
      <c r="GX1" s="139"/>
      <c r="GY1" s="139"/>
      <c r="GZ1" s="139"/>
      <c r="HA1" s="139"/>
      <c r="HB1" s="139"/>
      <c r="HC1" s="139"/>
      <c r="HD1" s="139"/>
      <c r="HE1" s="139"/>
      <c r="HF1" s="139"/>
      <c r="HG1" s="139"/>
      <c r="HH1" s="139"/>
      <c r="HI1" s="139"/>
      <c r="HJ1" s="139"/>
      <c r="HK1" s="139"/>
      <c r="HL1" s="139"/>
      <c r="HM1" s="139"/>
      <c r="HN1" s="139"/>
      <c r="HO1" s="139"/>
      <c r="HP1" s="139"/>
      <c r="HQ1" s="139"/>
      <c r="HR1" s="139"/>
      <c r="HS1" s="139"/>
      <c r="HT1" s="139"/>
      <c r="HU1" s="139"/>
      <c r="HV1" s="139"/>
      <c r="HW1" s="139"/>
      <c r="HX1" s="139"/>
      <c r="HY1" s="139"/>
      <c r="HZ1" s="139"/>
      <c r="IA1" s="139"/>
      <c r="IB1" s="139"/>
      <c r="IC1" s="139"/>
      <c r="ID1" s="139"/>
      <c r="IE1" s="139"/>
      <c r="IF1" s="139"/>
      <c r="IG1" s="139"/>
      <c r="IH1" s="139"/>
      <c r="II1" s="139"/>
      <c r="IJ1" s="139"/>
      <c r="IK1" s="139"/>
      <c r="IL1" s="139"/>
      <c r="IM1" s="139"/>
      <c r="IN1" s="139"/>
      <c r="IO1" s="139"/>
      <c r="IP1" s="139"/>
      <c r="IQ1" s="139"/>
      <c r="IR1" s="139"/>
      <c r="IS1" s="139"/>
      <c r="IT1" s="139"/>
      <c r="IU1" s="139"/>
      <c r="IV1" s="139"/>
      <c r="IW1" s="139"/>
      <c r="IX1" s="139"/>
      <c r="IY1" s="139"/>
      <c r="IZ1" s="139"/>
      <c r="JA1" s="139"/>
      <c r="JB1" s="139"/>
      <c r="JC1" s="139"/>
      <c r="JD1" s="139"/>
      <c r="JE1" s="139"/>
      <c r="JF1" s="139"/>
      <c r="JG1" s="139"/>
      <c r="JH1" s="139"/>
      <c r="JI1" s="139"/>
      <c r="JJ1" s="139"/>
      <c r="JK1" s="139"/>
      <c r="JL1" s="139"/>
      <c r="JM1" s="139"/>
      <c r="JN1" s="139"/>
      <c r="JO1" s="139"/>
      <c r="JP1" s="139"/>
      <c r="JQ1" s="139"/>
      <c r="JR1" s="139"/>
      <c r="JS1" s="139"/>
      <c r="JT1" s="139"/>
      <c r="JU1" s="139"/>
      <c r="JV1" s="139"/>
      <c r="JW1" s="139"/>
      <c r="JX1" s="139"/>
      <c r="JY1" s="139"/>
      <c r="JZ1" s="139"/>
      <c r="KA1" s="139"/>
      <c r="KB1" s="139"/>
      <c r="KC1" s="139"/>
      <c r="KD1" s="139"/>
      <c r="KE1" s="139"/>
      <c r="KF1" s="139"/>
      <c r="KG1" s="139"/>
      <c r="KH1" s="139"/>
      <c r="KI1" s="139"/>
      <c r="KJ1" s="139"/>
      <c r="KK1" s="139"/>
      <c r="KL1" s="139"/>
      <c r="KM1" s="139"/>
      <c r="KN1" s="139"/>
      <c r="KO1" s="139"/>
      <c r="KP1" s="139"/>
      <c r="KQ1" s="139"/>
      <c r="KR1" s="139"/>
      <c r="KS1" s="139"/>
      <c r="KT1" s="139"/>
      <c r="KU1" s="139"/>
      <c r="KV1" s="139"/>
      <c r="KW1" s="139"/>
      <c r="KX1" s="139"/>
      <c r="KY1" s="139"/>
      <c r="KZ1" s="139"/>
      <c r="LA1" s="139"/>
      <c r="LB1" s="139"/>
      <c r="LC1" s="139"/>
      <c r="LD1" s="139"/>
      <c r="LE1" s="139"/>
      <c r="LF1" s="139"/>
      <c r="LG1" s="139"/>
      <c r="LH1" s="139"/>
      <c r="LI1" s="139"/>
      <c r="LJ1" s="139"/>
      <c r="LK1" s="139"/>
      <c r="LL1" s="139"/>
      <c r="LM1" s="139"/>
      <c r="LN1" s="139"/>
      <c r="LO1" s="139"/>
      <c r="LP1" s="139"/>
      <c r="LQ1" s="139"/>
      <c r="LR1" s="139"/>
      <c r="LS1" s="139"/>
      <c r="LT1" s="139"/>
      <c r="LU1" s="139"/>
      <c r="LV1" s="139"/>
      <c r="LW1" s="139"/>
      <c r="LX1" s="139"/>
      <c r="LY1" s="139"/>
      <c r="LZ1" s="139"/>
      <c r="MA1" s="139"/>
      <c r="MB1" s="139"/>
      <c r="MC1" s="139"/>
      <c r="MD1" s="139"/>
      <c r="ME1" s="139"/>
      <c r="MF1" s="139"/>
      <c r="MG1" s="139"/>
      <c r="MH1" s="139"/>
      <c r="MI1" s="139"/>
      <c r="MJ1" s="139"/>
      <c r="MK1" s="139"/>
      <c r="ML1" s="139"/>
      <c r="MM1" s="139"/>
      <c r="MN1" s="139"/>
      <c r="MO1" s="139"/>
      <c r="MP1" s="139"/>
      <c r="MQ1" s="139"/>
      <c r="MR1" s="139"/>
      <c r="MS1" s="139"/>
      <c r="MT1" s="139"/>
      <c r="MU1" s="139"/>
      <c r="MV1" s="139"/>
      <c r="MW1" s="139"/>
      <c r="MX1" s="139"/>
      <c r="MY1" s="139"/>
      <c r="MZ1" s="139"/>
      <c r="NA1" s="139"/>
      <c r="NB1" s="139"/>
      <c r="NC1" s="139"/>
      <c r="ND1" s="139"/>
      <c r="NE1" s="139"/>
      <c r="NF1" s="139"/>
      <c r="NG1" s="139"/>
      <c r="NH1" s="139"/>
      <c r="NI1" s="139"/>
      <c r="NJ1" s="139"/>
      <c r="NK1" s="139"/>
      <c r="NL1" s="139"/>
      <c r="NM1" s="139"/>
      <c r="NN1" s="139"/>
      <c r="NO1" s="139"/>
      <c r="NP1" s="139"/>
      <c r="NQ1" s="139"/>
      <c r="NR1" s="139"/>
      <c r="NS1" s="139"/>
      <c r="NT1" s="139"/>
      <c r="NU1" s="139"/>
      <c r="NV1" s="139"/>
      <c r="NW1" s="139"/>
      <c r="NX1" s="139"/>
      <c r="NY1" s="139"/>
      <c r="NZ1" s="139"/>
      <c r="OA1" s="139"/>
      <c r="OB1" s="139"/>
      <c r="OC1" s="139"/>
      <c r="OD1" s="139"/>
      <c r="OE1" s="139"/>
      <c r="OF1" s="139"/>
      <c r="OG1" s="139"/>
      <c r="OH1" s="139"/>
      <c r="OI1" s="139"/>
      <c r="OJ1" s="139"/>
      <c r="OK1" s="139"/>
      <c r="OL1" s="139"/>
      <c r="OM1" s="139"/>
      <c r="ON1" s="139"/>
      <c r="OO1" s="139"/>
      <c r="OP1" s="139"/>
      <c r="OQ1" s="139"/>
      <c r="OR1" s="139"/>
      <c r="OS1" s="139"/>
      <c r="OT1" s="139"/>
      <c r="OU1" s="139"/>
      <c r="OV1" s="139"/>
      <c r="OW1" s="139"/>
      <c r="OX1" s="139"/>
      <c r="OY1" s="139"/>
      <c r="OZ1" s="139"/>
      <c r="PA1" s="139"/>
      <c r="PB1" s="139"/>
      <c r="PC1" s="139"/>
      <c r="PD1" s="139"/>
      <c r="PE1" s="139"/>
      <c r="PF1" s="139"/>
      <c r="PG1" s="139"/>
      <c r="PH1" s="139"/>
      <c r="PI1" s="139"/>
      <c r="PJ1" s="139"/>
      <c r="PK1" s="139"/>
      <c r="PL1" s="139"/>
      <c r="PM1" s="139"/>
      <c r="PN1" s="139"/>
      <c r="PO1" s="139"/>
      <c r="PP1" s="139"/>
      <c r="PQ1" s="139"/>
      <c r="PR1" s="139"/>
      <c r="PS1" s="139"/>
      <c r="PT1" s="139"/>
      <c r="PU1" s="139"/>
      <c r="PV1" s="139"/>
      <c r="PW1" s="139"/>
      <c r="PX1" s="139"/>
      <c r="PY1" s="139"/>
      <c r="PZ1" s="139"/>
      <c r="QA1" s="139"/>
      <c r="QB1" s="139"/>
      <c r="QC1" s="139"/>
      <c r="QD1" s="139"/>
      <c r="QE1" s="139"/>
      <c r="QF1" s="139"/>
      <c r="QG1" s="139"/>
      <c r="QH1" s="139"/>
      <c r="QI1" s="139"/>
      <c r="QJ1" s="139"/>
      <c r="QK1" s="139"/>
      <c r="QL1" s="139"/>
      <c r="QM1" s="139"/>
      <c r="QN1" s="139"/>
      <c r="QO1" s="139"/>
      <c r="QP1" s="139"/>
      <c r="QQ1" s="139"/>
      <c r="QR1" s="139"/>
      <c r="QS1" s="139"/>
      <c r="QT1" s="139"/>
      <c r="QU1" s="139"/>
      <c r="QV1" s="139"/>
      <c r="QW1" s="139"/>
      <c r="QX1" s="139"/>
      <c r="QY1" s="139"/>
      <c r="QZ1" s="139"/>
      <c r="RA1" s="139"/>
      <c r="RB1" s="139"/>
      <c r="RC1" s="139"/>
      <c r="RD1" s="139"/>
      <c r="RE1" s="139"/>
      <c r="RF1" s="139"/>
      <c r="RG1" s="139"/>
      <c r="RH1" s="139"/>
      <c r="RI1" s="139"/>
      <c r="RJ1" s="139"/>
      <c r="RK1" s="139"/>
      <c r="RL1" s="139"/>
      <c r="RM1" s="139"/>
      <c r="RN1" s="139"/>
      <c r="RO1" s="139"/>
      <c r="RP1" s="139"/>
      <c r="RQ1" s="139"/>
      <c r="RR1" s="139"/>
      <c r="RS1" s="139"/>
      <c r="RT1" s="139"/>
      <c r="RU1" s="139"/>
      <c r="RV1" s="139"/>
      <c r="RW1" s="139"/>
      <c r="RX1" s="139"/>
      <c r="RY1" s="139"/>
      <c r="RZ1" s="139"/>
      <c r="SA1" s="139"/>
      <c r="SB1" s="139"/>
      <c r="SC1" s="139"/>
      <c r="SD1" s="139"/>
      <c r="SE1" s="139"/>
      <c r="SF1" s="139"/>
      <c r="SG1" s="139"/>
      <c r="SH1" s="139"/>
      <c r="SI1" s="139"/>
      <c r="SJ1" s="139"/>
      <c r="SK1" s="139"/>
      <c r="SL1" s="139"/>
      <c r="SM1" s="139"/>
      <c r="SN1" s="139"/>
      <c r="SO1" s="139"/>
      <c r="SP1" s="139"/>
      <c r="SQ1" s="139"/>
      <c r="SR1" s="139"/>
      <c r="SS1" s="139"/>
      <c r="ST1" s="139"/>
      <c r="SU1" s="139"/>
      <c r="SV1" s="139"/>
      <c r="SW1" s="139"/>
      <c r="SX1" s="139"/>
      <c r="SY1" s="139"/>
      <c r="SZ1" s="139"/>
      <c r="TA1" s="139"/>
      <c r="TB1" s="139"/>
      <c r="TC1" s="139"/>
      <c r="TD1" s="139"/>
      <c r="TE1" s="139"/>
      <c r="TF1" s="139"/>
      <c r="TG1" s="139"/>
      <c r="TH1" s="139"/>
      <c r="TI1" s="139"/>
      <c r="TJ1" s="139"/>
      <c r="TK1" s="139"/>
      <c r="TL1" s="139"/>
      <c r="TM1" s="139"/>
      <c r="TN1" s="139"/>
      <c r="TO1" s="139"/>
      <c r="TP1" s="139"/>
      <c r="TQ1" s="139"/>
      <c r="TR1" s="139"/>
      <c r="TS1" s="139"/>
      <c r="TT1" s="139"/>
      <c r="TU1" s="139"/>
      <c r="TV1" s="139"/>
      <c r="TW1" s="139"/>
      <c r="TX1" s="139"/>
      <c r="TY1" s="139"/>
      <c r="TZ1" s="139"/>
      <c r="UA1" s="139"/>
      <c r="UB1" s="139"/>
      <c r="UC1" s="139"/>
      <c r="UD1" s="139"/>
      <c r="UE1" s="139"/>
      <c r="UF1" s="139"/>
      <c r="UG1" s="139"/>
      <c r="UH1" s="139"/>
      <c r="UI1" s="139"/>
      <c r="UJ1" s="139"/>
      <c r="UK1" s="139"/>
      <c r="UL1" s="139"/>
      <c r="UM1" s="139"/>
      <c r="UN1" s="139"/>
      <c r="UO1" s="139"/>
      <c r="UP1" s="139"/>
      <c r="UQ1" s="139"/>
      <c r="UR1" s="139"/>
      <c r="US1" s="139"/>
      <c r="UT1" s="139"/>
      <c r="UU1" s="139"/>
      <c r="UV1" s="139"/>
      <c r="UW1" s="139"/>
      <c r="UX1" s="139"/>
      <c r="UY1" s="139"/>
      <c r="UZ1" s="139"/>
      <c r="VA1" s="139"/>
      <c r="VB1" s="139"/>
      <c r="VC1" s="139"/>
      <c r="VD1" s="139"/>
      <c r="VE1" s="139"/>
      <c r="VF1" s="139"/>
      <c r="VG1" s="139"/>
      <c r="VH1" s="139"/>
      <c r="VI1" s="139"/>
      <c r="VJ1" s="139"/>
      <c r="VK1" s="139"/>
      <c r="VL1" s="139"/>
      <c r="VM1" s="139"/>
      <c r="VN1" s="139"/>
      <c r="VO1" s="139"/>
      <c r="VP1" s="139"/>
      <c r="VQ1" s="139"/>
      <c r="VR1" s="139"/>
      <c r="VS1" s="139"/>
      <c r="VT1" s="139"/>
      <c r="VU1" s="139"/>
      <c r="VV1" s="139"/>
      <c r="VW1" s="139"/>
      <c r="VX1" s="139"/>
      <c r="VY1" s="139"/>
      <c r="VZ1" s="139"/>
      <c r="WA1" s="139"/>
      <c r="WB1" s="139"/>
      <c r="WC1" s="139"/>
      <c r="WD1" s="139"/>
      <c r="WE1" s="139"/>
      <c r="WF1" s="139"/>
      <c r="WG1" s="139"/>
      <c r="WH1" s="139"/>
      <c r="WI1" s="139"/>
      <c r="WJ1" s="139"/>
      <c r="WK1" s="139"/>
      <c r="WL1" s="139"/>
      <c r="WM1" s="139"/>
      <c r="WN1" s="139"/>
      <c r="WO1" s="139"/>
      <c r="WP1" s="139"/>
      <c r="WQ1" s="139"/>
      <c r="WR1" s="139"/>
      <c r="WS1" s="139"/>
      <c r="WT1" s="139"/>
      <c r="WU1" s="139"/>
      <c r="WV1" s="139"/>
      <c r="WW1" s="139"/>
      <c r="WX1" s="139"/>
      <c r="WY1" s="139"/>
      <c r="WZ1" s="139"/>
      <c r="XA1" s="139"/>
      <c r="XB1" s="139"/>
      <c r="XC1" s="139"/>
      <c r="XD1" s="139"/>
      <c r="XE1" s="139"/>
      <c r="XF1" s="139"/>
      <c r="XG1" s="139"/>
      <c r="XH1" s="139"/>
      <c r="XI1" s="139"/>
      <c r="XJ1" s="139"/>
      <c r="XK1" s="139"/>
      <c r="XL1" s="139"/>
      <c r="XM1" s="139"/>
      <c r="XN1" s="139"/>
      <c r="XO1" s="139"/>
      <c r="XP1" s="139"/>
      <c r="XQ1" s="139"/>
      <c r="XR1" s="139"/>
      <c r="XS1" s="139"/>
      <c r="XT1" s="139"/>
      <c r="XU1" s="139"/>
      <c r="XV1" s="139"/>
      <c r="XW1" s="139"/>
      <c r="XX1" s="139"/>
      <c r="XY1" s="139"/>
      <c r="XZ1" s="139"/>
      <c r="YA1" s="139"/>
      <c r="YB1" s="139"/>
      <c r="YC1" s="139"/>
      <c r="YD1" s="139"/>
      <c r="YE1" s="139"/>
      <c r="YF1" s="139"/>
      <c r="YG1" s="139"/>
      <c r="YH1" s="139"/>
      <c r="YI1" s="139"/>
      <c r="YJ1" s="139"/>
      <c r="YK1" s="139"/>
      <c r="YL1" s="139"/>
      <c r="YM1" s="139"/>
      <c r="YN1" s="139"/>
      <c r="YO1" s="139"/>
      <c r="YP1" s="139"/>
      <c r="YQ1" s="139"/>
      <c r="YR1" s="139"/>
      <c r="YS1" s="139"/>
      <c r="YT1" s="139"/>
      <c r="YU1" s="139"/>
      <c r="YV1" s="139"/>
      <c r="YW1" s="139"/>
      <c r="YX1" s="139"/>
      <c r="YY1" s="139"/>
      <c r="YZ1" s="139"/>
      <c r="ZA1" s="139"/>
      <c r="ZB1" s="139"/>
      <c r="ZC1" s="139"/>
      <c r="ZD1" s="139"/>
      <c r="ZE1" s="139"/>
      <c r="ZF1" s="139"/>
      <c r="ZG1" s="139"/>
      <c r="ZH1" s="139"/>
      <c r="ZI1" s="139"/>
      <c r="ZJ1" s="139"/>
      <c r="ZK1" s="139"/>
      <c r="ZL1" s="139"/>
      <c r="ZM1" s="139"/>
      <c r="ZN1" s="139"/>
      <c r="ZO1" s="139"/>
      <c r="ZP1" s="139"/>
      <c r="ZQ1" s="139"/>
      <c r="ZR1" s="139"/>
      <c r="ZS1" s="139"/>
      <c r="ZT1" s="139"/>
      <c r="ZU1" s="139"/>
      <c r="ZV1" s="139"/>
      <c r="ZW1" s="139"/>
      <c r="ZX1" s="139"/>
      <c r="ZY1" s="139"/>
      <c r="ZZ1" s="139"/>
      <c r="AAA1" s="139"/>
      <c r="AAB1" s="139"/>
      <c r="AAC1" s="139"/>
      <c r="AAD1" s="139"/>
      <c r="AAE1" s="139"/>
      <c r="AAF1" s="139"/>
      <c r="AAG1" s="139"/>
      <c r="AAH1" s="139"/>
      <c r="AAI1" s="139"/>
      <c r="AAJ1" s="139"/>
      <c r="AAK1" s="139"/>
      <c r="AAL1" s="139"/>
      <c r="AAM1" s="139"/>
      <c r="AAN1" s="139"/>
      <c r="AAO1" s="139"/>
      <c r="AAP1" s="139"/>
      <c r="AAQ1" s="139"/>
      <c r="AAR1" s="139"/>
      <c r="AAS1" s="139"/>
      <c r="AAT1" s="139"/>
      <c r="AAU1" s="139"/>
      <c r="AAV1" s="139"/>
      <c r="AAW1" s="139"/>
      <c r="AAX1" s="139"/>
      <c r="AAY1" s="139"/>
      <c r="AAZ1" s="139"/>
      <c r="ABA1" s="139"/>
      <c r="ABB1" s="139"/>
      <c r="ABC1" s="139"/>
      <c r="ABD1" s="139"/>
      <c r="ABE1" s="139"/>
      <c r="ABF1" s="139"/>
      <c r="ABG1" s="139"/>
      <c r="ABH1" s="139"/>
      <c r="ABI1" s="139"/>
      <c r="ABJ1" s="139"/>
      <c r="ABK1" s="139"/>
      <c r="ABL1" s="139"/>
      <c r="ABM1" s="139"/>
      <c r="ABN1" s="139"/>
      <c r="ABO1" s="139"/>
      <c r="ABP1" s="139"/>
      <c r="ABQ1" s="139"/>
      <c r="ABR1" s="139"/>
      <c r="ABS1" s="139"/>
      <c r="ABT1" s="139"/>
      <c r="ABU1" s="139"/>
      <c r="ABV1" s="139"/>
      <c r="ABW1" s="139"/>
      <c r="ABX1" s="139"/>
      <c r="ABY1" s="139"/>
      <c r="ABZ1" s="139"/>
      <c r="ACA1" s="139"/>
      <c r="ACB1" s="139"/>
      <c r="ACC1" s="139"/>
      <c r="ACD1" s="139"/>
      <c r="ACE1" s="139"/>
      <c r="ACF1" s="139"/>
      <c r="ACG1" s="139"/>
      <c r="ACH1" s="139"/>
      <c r="ACI1" s="139"/>
      <c r="ACJ1" s="139"/>
      <c r="ACK1" s="139"/>
      <c r="ACL1" s="139"/>
      <c r="ACM1" s="139"/>
      <c r="ACN1" s="139"/>
      <c r="ACO1" s="139"/>
      <c r="ACP1" s="139"/>
      <c r="ACQ1" s="139"/>
      <c r="ACR1" s="139"/>
      <c r="ACS1" s="139"/>
      <c r="ACT1" s="139"/>
      <c r="ACU1" s="139"/>
      <c r="ACV1" s="139"/>
      <c r="ACW1" s="139"/>
      <c r="ACX1" s="139"/>
      <c r="ACY1" s="139"/>
      <c r="ACZ1" s="139"/>
      <c r="ADA1" s="139"/>
      <c r="ADB1" s="139"/>
      <c r="ADC1" s="139"/>
      <c r="ADD1" s="139"/>
      <c r="ADE1" s="139"/>
      <c r="ADF1" s="139"/>
      <c r="ADG1" s="139"/>
      <c r="ADH1" s="139"/>
      <c r="ADI1" s="139"/>
      <c r="ADJ1" s="139"/>
      <c r="ADK1" s="139"/>
      <c r="ADL1" s="139"/>
      <c r="ADM1" s="139"/>
      <c r="ADN1" s="139"/>
      <c r="ADO1" s="139"/>
      <c r="ADP1" s="139"/>
      <c r="ADQ1" s="139"/>
      <c r="ADR1" s="139"/>
      <c r="ADS1" s="139"/>
      <c r="ADT1" s="139"/>
      <c r="ADU1" s="139"/>
      <c r="ADV1" s="139"/>
      <c r="ADW1" s="139"/>
      <c r="ADX1" s="139"/>
      <c r="ADY1" s="139"/>
      <c r="ADZ1" s="139"/>
      <c r="AEA1" s="139"/>
      <c r="AEB1" s="139"/>
      <c r="AEC1" s="139"/>
      <c r="AED1" s="139"/>
      <c r="AEE1" s="139"/>
      <c r="AEF1" s="139"/>
      <c r="AEG1" s="139"/>
      <c r="AEH1" s="139"/>
      <c r="AEI1" s="139"/>
      <c r="AEJ1" s="139"/>
      <c r="AEK1" s="139"/>
      <c r="AEL1" s="139"/>
      <c r="AEM1" s="139"/>
      <c r="AEN1" s="139"/>
      <c r="AEO1" s="139"/>
      <c r="AEP1" s="139"/>
      <c r="AEQ1" s="139"/>
      <c r="AER1" s="139"/>
      <c r="AES1" s="139"/>
      <c r="AET1" s="139"/>
      <c r="AEU1" s="139"/>
      <c r="AEV1" s="139"/>
      <c r="AEW1" s="139"/>
      <c r="AEX1" s="139"/>
      <c r="AEY1" s="139"/>
      <c r="AEZ1" s="139"/>
      <c r="AFA1" s="139"/>
      <c r="AFB1" s="139"/>
      <c r="AFC1" s="139"/>
      <c r="AFD1" s="139"/>
      <c r="AFE1" s="139"/>
      <c r="AFF1" s="139"/>
      <c r="AFG1" s="139"/>
      <c r="AFH1" s="139"/>
      <c r="AFI1" s="139"/>
      <c r="AFJ1" s="139"/>
      <c r="AFK1" s="139"/>
      <c r="AFL1" s="139"/>
      <c r="AFM1" s="139"/>
      <c r="AFN1" s="139"/>
      <c r="AFO1" s="139"/>
      <c r="AFP1" s="139"/>
      <c r="AFQ1" s="139"/>
      <c r="AFR1" s="139"/>
      <c r="AFS1" s="139"/>
      <c r="AFT1" s="139"/>
      <c r="AFU1" s="139"/>
      <c r="AFV1" s="139"/>
      <c r="AFW1" s="139"/>
      <c r="AFX1" s="139"/>
      <c r="AFY1" s="139"/>
      <c r="AFZ1" s="139"/>
      <c r="AGA1" s="139"/>
      <c r="AGB1" s="139"/>
      <c r="AGC1" s="139"/>
      <c r="AGD1" s="139"/>
      <c r="AGE1" s="139"/>
      <c r="AGF1" s="139"/>
      <c r="AGG1" s="139"/>
      <c r="AGH1" s="139"/>
      <c r="AGI1" s="139"/>
      <c r="AGJ1" s="139"/>
      <c r="AGK1" s="139"/>
      <c r="AGL1" s="139"/>
      <c r="AGM1" s="139"/>
      <c r="AGN1" s="139"/>
      <c r="AGO1" s="139"/>
      <c r="AGP1" s="139"/>
      <c r="AGQ1" s="139"/>
      <c r="AGR1" s="139"/>
      <c r="AGS1" s="139"/>
      <c r="AGT1" s="139"/>
      <c r="AGU1" s="139"/>
      <c r="AGV1" s="139"/>
      <c r="AGW1" s="139"/>
      <c r="AGX1" s="139"/>
      <c r="AGY1" s="139"/>
      <c r="AGZ1" s="139"/>
      <c r="AHA1" s="139"/>
      <c r="AHB1" s="139"/>
      <c r="AHC1" s="139"/>
      <c r="AHD1" s="139"/>
      <c r="AHE1" s="139"/>
      <c r="AHF1" s="139"/>
      <c r="AHG1" s="139"/>
      <c r="AHH1" s="139"/>
      <c r="AHI1" s="139"/>
      <c r="AHJ1" s="139"/>
      <c r="AHK1" s="139"/>
      <c r="AHL1" s="139"/>
      <c r="AHM1" s="139"/>
      <c r="AHN1" s="139"/>
      <c r="AHO1" s="139"/>
      <c r="AHP1" s="139"/>
      <c r="AHQ1" s="139"/>
      <c r="AHR1" s="139"/>
      <c r="AHS1" s="139"/>
      <c r="AHT1" s="139"/>
      <c r="AHU1" s="139"/>
      <c r="AHV1" s="139"/>
      <c r="AHW1" s="139"/>
      <c r="AHX1" s="139"/>
      <c r="AHY1" s="139"/>
      <c r="AHZ1" s="139"/>
      <c r="AIA1" s="139"/>
      <c r="AIB1" s="139"/>
      <c r="AIC1" s="139"/>
      <c r="AID1" s="139"/>
      <c r="AIE1" s="139"/>
      <c r="AIF1" s="139"/>
      <c r="AIG1" s="139"/>
      <c r="AIH1" s="139"/>
      <c r="AII1" s="139"/>
      <c r="AIJ1" s="139"/>
      <c r="AIK1" s="139"/>
      <c r="AIL1" s="139"/>
      <c r="AIM1" s="139"/>
      <c r="AIN1" s="139"/>
      <c r="AIO1" s="139"/>
      <c r="AIP1" s="139"/>
      <c r="AIQ1" s="139"/>
      <c r="AIR1" s="139"/>
      <c r="AIS1" s="139"/>
      <c r="AIT1" s="139"/>
      <c r="AIU1" s="139"/>
      <c r="AIV1" s="139"/>
      <c r="AIW1" s="139"/>
      <c r="AIX1" s="139"/>
      <c r="AIY1" s="139"/>
      <c r="AIZ1" s="139"/>
      <c r="AJA1" s="139"/>
      <c r="AJB1" s="139"/>
      <c r="AJC1" s="139"/>
      <c r="AJD1" s="139"/>
      <c r="AJE1" s="139"/>
      <c r="AJF1" s="139"/>
      <c r="AJG1" s="139"/>
      <c r="AJH1" s="139"/>
      <c r="AJI1" s="139"/>
      <c r="AJJ1" s="139"/>
      <c r="AJK1" s="139"/>
      <c r="AJL1" s="139"/>
      <c r="AJM1" s="139"/>
      <c r="AJN1" s="139"/>
      <c r="AJO1" s="139"/>
      <c r="AJP1" s="139"/>
      <c r="AJQ1" s="139"/>
      <c r="AJR1" s="139"/>
      <c r="AJS1" s="139"/>
      <c r="AJT1" s="139"/>
      <c r="AJU1" s="139"/>
      <c r="AJV1" s="139"/>
      <c r="AJW1" s="139"/>
      <c r="AJX1" s="139"/>
      <c r="AJY1" s="139"/>
      <c r="AJZ1" s="139"/>
      <c r="AKA1" s="139"/>
      <c r="AKB1" s="139"/>
      <c r="AKC1" s="139"/>
      <c r="AKD1" s="139"/>
      <c r="AKE1" s="139"/>
      <c r="AKF1" s="139"/>
      <c r="AKG1" s="139"/>
      <c r="AKH1" s="139"/>
      <c r="AKI1" s="139"/>
      <c r="AKJ1" s="139"/>
      <c r="AKK1" s="139"/>
      <c r="AKL1" s="139"/>
      <c r="AKM1" s="139"/>
      <c r="AKN1" s="139"/>
      <c r="AKO1" s="139"/>
      <c r="AKP1" s="139"/>
      <c r="AKQ1" s="139"/>
      <c r="AKR1" s="139"/>
      <c r="AKS1" s="139"/>
      <c r="AKT1" s="139"/>
      <c r="AKU1" s="139"/>
      <c r="AKV1" s="139"/>
      <c r="AKW1" s="139"/>
      <c r="AKX1" s="139"/>
      <c r="AKY1" s="139"/>
      <c r="AKZ1" s="139"/>
      <c r="ALA1" s="139"/>
      <c r="ALB1" s="139"/>
      <c r="ALC1" s="139"/>
      <c r="ALD1" s="139"/>
      <c r="ALE1" s="139"/>
      <c r="ALF1" s="139"/>
      <c r="ALG1" s="139"/>
      <c r="ALH1" s="139"/>
      <c r="ALI1" s="139"/>
      <c r="ALJ1" s="139"/>
      <c r="ALK1" s="139"/>
      <c r="ALL1" s="139"/>
      <c r="ALM1" s="139"/>
      <c r="ALN1" s="139"/>
      <c r="ALO1" s="139"/>
      <c r="ALP1" s="139"/>
      <c r="ALQ1" s="139"/>
      <c r="ALR1" s="139"/>
      <c r="ALS1" s="139"/>
      <c r="ALT1" s="139"/>
      <c r="ALU1" s="139"/>
      <c r="ALV1" s="139"/>
      <c r="ALW1" s="139"/>
      <c r="ALX1" s="139"/>
      <c r="ALY1" s="139"/>
      <c r="ALZ1" s="139"/>
      <c r="AMA1" s="139"/>
      <c r="AMB1" s="139"/>
      <c r="AMC1" s="139"/>
      <c r="AMD1" s="139"/>
      <c r="AME1" s="139"/>
      <c r="AMF1" s="139"/>
      <c r="AMG1" s="139"/>
      <c r="AMH1" s="139"/>
      <c r="AMI1" s="139"/>
      <c r="AMJ1" s="139"/>
    </row>
    <row r="2" spans="1:1024" s="140" customFormat="1" ht="34.5" customHeight="1" x14ac:dyDescent="0.25">
      <c r="A2" s="214" t="s">
        <v>146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141"/>
      <c r="O2" s="141">
        <f>2^8</f>
        <v>256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39"/>
      <c r="GB2" s="139"/>
      <c r="GC2" s="139"/>
      <c r="GD2" s="139"/>
      <c r="GE2" s="139"/>
      <c r="GF2" s="139"/>
      <c r="GG2" s="139"/>
      <c r="GH2" s="139"/>
      <c r="GI2" s="139"/>
      <c r="GJ2" s="139"/>
      <c r="GK2" s="139"/>
      <c r="GL2" s="139"/>
      <c r="GM2" s="139"/>
      <c r="GN2" s="139"/>
      <c r="GO2" s="139"/>
      <c r="GP2" s="139"/>
      <c r="GQ2" s="139"/>
      <c r="GR2" s="139"/>
      <c r="GS2" s="139"/>
      <c r="GT2" s="139"/>
      <c r="GU2" s="139"/>
      <c r="GV2" s="139"/>
      <c r="GW2" s="139"/>
      <c r="GX2" s="139"/>
      <c r="GY2" s="139"/>
      <c r="GZ2" s="139"/>
      <c r="HA2" s="139"/>
      <c r="HB2" s="139"/>
      <c r="HC2" s="139"/>
      <c r="HD2" s="139"/>
      <c r="HE2" s="139"/>
      <c r="HF2" s="139"/>
      <c r="HG2" s="139"/>
      <c r="HH2" s="139"/>
      <c r="HI2" s="139"/>
      <c r="HJ2" s="139"/>
      <c r="HK2" s="139"/>
      <c r="HL2" s="139"/>
      <c r="HM2" s="139"/>
      <c r="HN2" s="139"/>
      <c r="HO2" s="139"/>
      <c r="HP2" s="139"/>
      <c r="HQ2" s="139"/>
      <c r="HR2" s="139"/>
      <c r="HS2" s="139"/>
      <c r="HT2" s="139"/>
      <c r="HU2" s="139"/>
      <c r="HV2" s="139"/>
      <c r="HW2" s="139"/>
      <c r="HX2" s="139"/>
      <c r="HY2" s="139"/>
      <c r="HZ2" s="139"/>
      <c r="IA2" s="139"/>
      <c r="IB2" s="139"/>
      <c r="IC2" s="139"/>
      <c r="ID2" s="139"/>
      <c r="IE2" s="139"/>
      <c r="IF2" s="139"/>
      <c r="IG2" s="139"/>
      <c r="IH2" s="139"/>
      <c r="II2" s="139"/>
      <c r="IJ2" s="139"/>
      <c r="IK2" s="139"/>
      <c r="IL2" s="139"/>
      <c r="IM2" s="139"/>
      <c r="IN2" s="139"/>
      <c r="IO2" s="139"/>
      <c r="IP2" s="139"/>
      <c r="IQ2" s="139"/>
      <c r="IR2" s="139"/>
      <c r="IS2" s="139"/>
      <c r="IT2" s="139"/>
      <c r="IU2" s="139"/>
      <c r="IV2" s="139"/>
      <c r="IW2" s="139"/>
      <c r="IX2" s="139"/>
      <c r="IY2" s="139"/>
      <c r="IZ2" s="139"/>
      <c r="JA2" s="139"/>
      <c r="JB2" s="139"/>
      <c r="JC2" s="139"/>
      <c r="JD2" s="139"/>
      <c r="JE2" s="139"/>
      <c r="JF2" s="139"/>
      <c r="JG2" s="139"/>
      <c r="JH2" s="139"/>
      <c r="JI2" s="139"/>
      <c r="JJ2" s="139"/>
      <c r="JK2" s="139"/>
      <c r="JL2" s="139"/>
      <c r="JM2" s="139"/>
      <c r="JN2" s="139"/>
      <c r="JO2" s="139"/>
      <c r="JP2" s="139"/>
      <c r="JQ2" s="139"/>
      <c r="JR2" s="139"/>
      <c r="JS2" s="139"/>
      <c r="JT2" s="139"/>
      <c r="JU2" s="139"/>
      <c r="JV2" s="139"/>
      <c r="JW2" s="139"/>
      <c r="JX2" s="139"/>
      <c r="JY2" s="139"/>
      <c r="JZ2" s="139"/>
      <c r="KA2" s="139"/>
      <c r="KB2" s="139"/>
      <c r="KC2" s="139"/>
      <c r="KD2" s="139"/>
      <c r="KE2" s="139"/>
      <c r="KF2" s="139"/>
      <c r="KG2" s="139"/>
      <c r="KH2" s="139"/>
      <c r="KI2" s="139"/>
      <c r="KJ2" s="139"/>
      <c r="KK2" s="139"/>
      <c r="KL2" s="139"/>
      <c r="KM2" s="139"/>
      <c r="KN2" s="139"/>
      <c r="KO2" s="139"/>
      <c r="KP2" s="139"/>
      <c r="KQ2" s="139"/>
      <c r="KR2" s="139"/>
      <c r="KS2" s="139"/>
      <c r="KT2" s="139"/>
      <c r="KU2" s="139"/>
      <c r="KV2" s="139"/>
      <c r="KW2" s="139"/>
      <c r="KX2" s="139"/>
      <c r="KY2" s="139"/>
      <c r="KZ2" s="139"/>
      <c r="LA2" s="139"/>
      <c r="LB2" s="139"/>
      <c r="LC2" s="139"/>
      <c r="LD2" s="139"/>
      <c r="LE2" s="139"/>
      <c r="LF2" s="139"/>
      <c r="LG2" s="139"/>
      <c r="LH2" s="139"/>
      <c r="LI2" s="139"/>
      <c r="LJ2" s="139"/>
      <c r="LK2" s="139"/>
      <c r="LL2" s="139"/>
      <c r="LM2" s="139"/>
      <c r="LN2" s="139"/>
      <c r="LO2" s="139"/>
      <c r="LP2" s="139"/>
      <c r="LQ2" s="139"/>
      <c r="LR2" s="139"/>
      <c r="LS2" s="139"/>
      <c r="LT2" s="139"/>
      <c r="LU2" s="139"/>
      <c r="LV2" s="139"/>
      <c r="LW2" s="139"/>
      <c r="LX2" s="139"/>
      <c r="LY2" s="139"/>
      <c r="LZ2" s="139"/>
      <c r="MA2" s="139"/>
      <c r="MB2" s="139"/>
      <c r="MC2" s="139"/>
      <c r="MD2" s="139"/>
      <c r="ME2" s="139"/>
      <c r="MF2" s="139"/>
      <c r="MG2" s="139"/>
      <c r="MH2" s="139"/>
      <c r="MI2" s="139"/>
      <c r="MJ2" s="139"/>
      <c r="MK2" s="139"/>
      <c r="ML2" s="139"/>
      <c r="MM2" s="139"/>
      <c r="MN2" s="139"/>
      <c r="MO2" s="139"/>
      <c r="MP2" s="139"/>
      <c r="MQ2" s="139"/>
      <c r="MR2" s="139"/>
      <c r="MS2" s="139"/>
      <c r="MT2" s="139"/>
      <c r="MU2" s="139"/>
      <c r="MV2" s="139"/>
      <c r="MW2" s="139"/>
      <c r="MX2" s="139"/>
      <c r="MY2" s="139"/>
      <c r="MZ2" s="139"/>
      <c r="NA2" s="139"/>
      <c r="NB2" s="139"/>
      <c r="NC2" s="139"/>
      <c r="ND2" s="139"/>
      <c r="NE2" s="139"/>
      <c r="NF2" s="139"/>
      <c r="NG2" s="139"/>
      <c r="NH2" s="139"/>
      <c r="NI2" s="139"/>
      <c r="NJ2" s="139"/>
      <c r="NK2" s="139"/>
      <c r="NL2" s="139"/>
      <c r="NM2" s="139"/>
      <c r="NN2" s="139"/>
      <c r="NO2" s="139"/>
      <c r="NP2" s="139"/>
      <c r="NQ2" s="139"/>
      <c r="NR2" s="139"/>
      <c r="NS2" s="139"/>
      <c r="NT2" s="139"/>
      <c r="NU2" s="139"/>
      <c r="NV2" s="139"/>
      <c r="NW2" s="139"/>
      <c r="NX2" s="139"/>
      <c r="NY2" s="139"/>
      <c r="NZ2" s="139"/>
      <c r="OA2" s="139"/>
      <c r="OB2" s="139"/>
      <c r="OC2" s="139"/>
      <c r="OD2" s="139"/>
      <c r="OE2" s="139"/>
      <c r="OF2" s="139"/>
      <c r="OG2" s="139"/>
      <c r="OH2" s="139"/>
      <c r="OI2" s="139"/>
      <c r="OJ2" s="139"/>
      <c r="OK2" s="139"/>
      <c r="OL2" s="139"/>
      <c r="OM2" s="139"/>
      <c r="ON2" s="139"/>
      <c r="OO2" s="139"/>
      <c r="OP2" s="139"/>
      <c r="OQ2" s="139"/>
      <c r="OR2" s="139"/>
      <c r="OS2" s="139"/>
      <c r="OT2" s="139"/>
      <c r="OU2" s="139"/>
      <c r="OV2" s="139"/>
      <c r="OW2" s="139"/>
      <c r="OX2" s="139"/>
      <c r="OY2" s="139"/>
      <c r="OZ2" s="139"/>
      <c r="PA2" s="139"/>
      <c r="PB2" s="139"/>
      <c r="PC2" s="139"/>
      <c r="PD2" s="139"/>
      <c r="PE2" s="139"/>
      <c r="PF2" s="139"/>
      <c r="PG2" s="139"/>
      <c r="PH2" s="139"/>
      <c r="PI2" s="139"/>
      <c r="PJ2" s="139"/>
      <c r="PK2" s="139"/>
      <c r="PL2" s="139"/>
      <c r="PM2" s="139"/>
      <c r="PN2" s="139"/>
      <c r="PO2" s="139"/>
      <c r="PP2" s="139"/>
      <c r="PQ2" s="139"/>
      <c r="PR2" s="139"/>
      <c r="PS2" s="139"/>
      <c r="PT2" s="139"/>
      <c r="PU2" s="139"/>
      <c r="PV2" s="139"/>
      <c r="PW2" s="139"/>
      <c r="PX2" s="139"/>
      <c r="PY2" s="139"/>
      <c r="PZ2" s="139"/>
      <c r="QA2" s="139"/>
      <c r="QB2" s="139"/>
      <c r="QC2" s="139"/>
      <c r="QD2" s="139"/>
      <c r="QE2" s="139"/>
      <c r="QF2" s="139"/>
      <c r="QG2" s="139"/>
      <c r="QH2" s="139"/>
      <c r="QI2" s="139"/>
      <c r="QJ2" s="139"/>
      <c r="QK2" s="139"/>
      <c r="QL2" s="139"/>
      <c r="QM2" s="139"/>
      <c r="QN2" s="139"/>
      <c r="QO2" s="139"/>
      <c r="QP2" s="139"/>
      <c r="QQ2" s="139"/>
      <c r="QR2" s="139"/>
      <c r="QS2" s="139"/>
      <c r="QT2" s="139"/>
      <c r="QU2" s="139"/>
      <c r="QV2" s="139"/>
      <c r="QW2" s="139"/>
      <c r="QX2" s="139"/>
      <c r="QY2" s="139"/>
      <c r="QZ2" s="139"/>
      <c r="RA2" s="139"/>
      <c r="RB2" s="139"/>
      <c r="RC2" s="139"/>
      <c r="RD2" s="139"/>
      <c r="RE2" s="139"/>
      <c r="RF2" s="139"/>
      <c r="RG2" s="139"/>
      <c r="RH2" s="139"/>
      <c r="RI2" s="139"/>
      <c r="RJ2" s="139"/>
      <c r="RK2" s="139"/>
      <c r="RL2" s="139"/>
      <c r="RM2" s="139"/>
      <c r="RN2" s="139"/>
      <c r="RO2" s="139"/>
      <c r="RP2" s="139"/>
      <c r="RQ2" s="139"/>
      <c r="RR2" s="139"/>
      <c r="RS2" s="139"/>
      <c r="RT2" s="139"/>
      <c r="RU2" s="139"/>
      <c r="RV2" s="139"/>
      <c r="RW2" s="139"/>
      <c r="RX2" s="139"/>
      <c r="RY2" s="139"/>
      <c r="RZ2" s="139"/>
      <c r="SA2" s="139"/>
      <c r="SB2" s="139"/>
      <c r="SC2" s="139"/>
      <c r="SD2" s="139"/>
      <c r="SE2" s="139"/>
      <c r="SF2" s="139"/>
      <c r="SG2" s="139"/>
      <c r="SH2" s="139"/>
      <c r="SI2" s="139"/>
      <c r="SJ2" s="139"/>
      <c r="SK2" s="139"/>
      <c r="SL2" s="139"/>
      <c r="SM2" s="139"/>
      <c r="SN2" s="139"/>
      <c r="SO2" s="139"/>
      <c r="SP2" s="139"/>
      <c r="SQ2" s="139"/>
      <c r="SR2" s="139"/>
      <c r="SS2" s="139"/>
      <c r="ST2" s="139"/>
      <c r="SU2" s="139"/>
      <c r="SV2" s="139"/>
      <c r="SW2" s="139"/>
      <c r="SX2" s="139"/>
      <c r="SY2" s="139"/>
      <c r="SZ2" s="139"/>
      <c r="TA2" s="139"/>
      <c r="TB2" s="139"/>
      <c r="TC2" s="139"/>
      <c r="TD2" s="139"/>
      <c r="TE2" s="139"/>
      <c r="TF2" s="139"/>
      <c r="TG2" s="139"/>
      <c r="TH2" s="139"/>
      <c r="TI2" s="139"/>
      <c r="TJ2" s="139"/>
      <c r="TK2" s="139"/>
      <c r="TL2" s="139"/>
      <c r="TM2" s="139"/>
      <c r="TN2" s="139"/>
      <c r="TO2" s="139"/>
      <c r="TP2" s="139"/>
      <c r="TQ2" s="139"/>
      <c r="TR2" s="139"/>
      <c r="TS2" s="139"/>
      <c r="TT2" s="139"/>
      <c r="TU2" s="139"/>
      <c r="TV2" s="139"/>
      <c r="TW2" s="139"/>
      <c r="TX2" s="139"/>
      <c r="TY2" s="139"/>
      <c r="TZ2" s="139"/>
      <c r="UA2" s="139"/>
      <c r="UB2" s="139"/>
      <c r="UC2" s="139"/>
      <c r="UD2" s="139"/>
      <c r="UE2" s="139"/>
      <c r="UF2" s="139"/>
      <c r="UG2" s="139"/>
      <c r="UH2" s="139"/>
      <c r="UI2" s="139"/>
      <c r="UJ2" s="139"/>
      <c r="UK2" s="139"/>
      <c r="UL2" s="139"/>
      <c r="UM2" s="139"/>
      <c r="UN2" s="139"/>
      <c r="UO2" s="139"/>
      <c r="UP2" s="139"/>
      <c r="UQ2" s="139"/>
      <c r="UR2" s="139"/>
      <c r="US2" s="139"/>
      <c r="UT2" s="139"/>
      <c r="UU2" s="139"/>
      <c r="UV2" s="139"/>
      <c r="UW2" s="139"/>
      <c r="UX2" s="139"/>
      <c r="UY2" s="139"/>
      <c r="UZ2" s="139"/>
      <c r="VA2" s="139"/>
      <c r="VB2" s="139"/>
      <c r="VC2" s="139"/>
      <c r="VD2" s="139"/>
      <c r="VE2" s="139"/>
      <c r="VF2" s="139"/>
      <c r="VG2" s="139"/>
      <c r="VH2" s="139"/>
      <c r="VI2" s="139"/>
      <c r="VJ2" s="139"/>
      <c r="VK2" s="139"/>
      <c r="VL2" s="139"/>
      <c r="VM2" s="139"/>
      <c r="VN2" s="139"/>
      <c r="VO2" s="139"/>
      <c r="VP2" s="139"/>
      <c r="VQ2" s="139"/>
      <c r="VR2" s="139"/>
      <c r="VS2" s="139"/>
      <c r="VT2" s="139"/>
      <c r="VU2" s="139"/>
      <c r="VV2" s="139"/>
      <c r="VW2" s="139"/>
      <c r="VX2" s="139"/>
      <c r="VY2" s="139"/>
      <c r="VZ2" s="139"/>
      <c r="WA2" s="139"/>
      <c r="WB2" s="139"/>
      <c r="WC2" s="139"/>
      <c r="WD2" s="139"/>
      <c r="WE2" s="139"/>
      <c r="WF2" s="139"/>
      <c r="WG2" s="139"/>
      <c r="WH2" s="139"/>
      <c r="WI2" s="139"/>
      <c r="WJ2" s="139"/>
      <c r="WK2" s="139"/>
      <c r="WL2" s="139"/>
      <c r="WM2" s="139"/>
      <c r="WN2" s="139"/>
      <c r="WO2" s="139"/>
      <c r="WP2" s="139"/>
      <c r="WQ2" s="139"/>
      <c r="WR2" s="139"/>
      <c r="WS2" s="139"/>
      <c r="WT2" s="139"/>
      <c r="WU2" s="139"/>
      <c r="WV2" s="139"/>
      <c r="WW2" s="139"/>
      <c r="WX2" s="139"/>
      <c r="WY2" s="139"/>
      <c r="WZ2" s="139"/>
      <c r="XA2" s="139"/>
      <c r="XB2" s="139"/>
      <c r="XC2" s="139"/>
      <c r="XD2" s="139"/>
      <c r="XE2" s="139"/>
      <c r="XF2" s="139"/>
      <c r="XG2" s="139"/>
      <c r="XH2" s="139"/>
      <c r="XI2" s="139"/>
      <c r="XJ2" s="139"/>
      <c r="XK2" s="139"/>
      <c r="XL2" s="139"/>
      <c r="XM2" s="139"/>
      <c r="XN2" s="139"/>
      <c r="XO2" s="139"/>
      <c r="XP2" s="139"/>
      <c r="XQ2" s="139"/>
      <c r="XR2" s="139"/>
      <c r="XS2" s="139"/>
      <c r="XT2" s="139"/>
      <c r="XU2" s="139"/>
      <c r="XV2" s="139"/>
      <c r="XW2" s="139"/>
      <c r="XX2" s="139"/>
      <c r="XY2" s="139"/>
      <c r="XZ2" s="139"/>
      <c r="YA2" s="139"/>
      <c r="YB2" s="139"/>
      <c r="YC2" s="139"/>
      <c r="YD2" s="139"/>
      <c r="YE2" s="139"/>
      <c r="YF2" s="139"/>
      <c r="YG2" s="139"/>
      <c r="YH2" s="139"/>
      <c r="YI2" s="139"/>
      <c r="YJ2" s="139"/>
      <c r="YK2" s="139"/>
      <c r="YL2" s="139"/>
      <c r="YM2" s="139"/>
      <c r="YN2" s="139"/>
      <c r="YO2" s="139"/>
      <c r="YP2" s="139"/>
      <c r="YQ2" s="139"/>
      <c r="YR2" s="139"/>
      <c r="YS2" s="139"/>
      <c r="YT2" s="139"/>
      <c r="YU2" s="139"/>
      <c r="YV2" s="139"/>
      <c r="YW2" s="139"/>
      <c r="YX2" s="139"/>
      <c r="YY2" s="139"/>
      <c r="YZ2" s="139"/>
      <c r="ZA2" s="139"/>
      <c r="ZB2" s="139"/>
      <c r="ZC2" s="139"/>
      <c r="ZD2" s="139"/>
      <c r="ZE2" s="139"/>
      <c r="ZF2" s="139"/>
      <c r="ZG2" s="139"/>
      <c r="ZH2" s="139"/>
      <c r="ZI2" s="139"/>
      <c r="ZJ2" s="139"/>
      <c r="ZK2" s="139"/>
      <c r="ZL2" s="139"/>
      <c r="ZM2" s="139"/>
      <c r="ZN2" s="139"/>
      <c r="ZO2" s="139"/>
      <c r="ZP2" s="139"/>
      <c r="ZQ2" s="139"/>
      <c r="ZR2" s="139"/>
      <c r="ZS2" s="139"/>
      <c r="ZT2" s="139"/>
      <c r="ZU2" s="139"/>
      <c r="ZV2" s="139"/>
      <c r="ZW2" s="139"/>
      <c r="ZX2" s="139"/>
      <c r="ZY2" s="139"/>
      <c r="ZZ2" s="139"/>
      <c r="AAA2" s="139"/>
      <c r="AAB2" s="139"/>
      <c r="AAC2" s="139"/>
      <c r="AAD2" s="139"/>
      <c r="AAE2" s="139"/>
      <c r="AAF2" s="139"/>
      <c r="AAG2" s="139"/>
      <c r="AAH2" s="139"/>
      <c r="AAI2" s="139"/>
      <c r="AAJ2" s="139"/>
      <c r="AAK2" s="139"/>
      <c r="AAL2" s="139"/>
      <c r="AAM2" s="139"/>
      <c r="AAN2" s="139"/>
      <c r="AAO2" s="139"/>
      <c r="AAP2" s="139"/>
      <c r="AAQ2" s="139"/>
      <c r="AAR2" s="139"/>
      <c r="AAS2" s="139"/>
      <c r="AAT2" s="139"/>
      <c r="AAU2" s="139"/>
      <c r="AAV2" s="139"/>
      <c r="AAW2" s="139"/>
      <c r="AAX2" s="139"/>
      <c r="AAY2" s="139"/>
      <c r="AAZ2" s="139"/>
      <c r="ABA2" s="139"/>
      <c r="ABB2" s="139"/>
      <c r="ABC2" s="139"/>
      <c r="ABD2" s="139"/>
      <c r="ABE2" s="139"/>
      <c r="ABF2" s="139"/>
      <c r="ABG2" s="139"/>
      <c r="ABH2" s="139"/>
      <c r="ABI2" s="139"/>
      <c r="ABJ2" s="139"/>
      <c r="ABK2" s="139"/>
      <c r="ABL2" s="139"/>
      <c r="ABM2" s="139"/>
      <c r="ABN2" s="139"/>
      <c r="ABO2" s="139"/>
      <c r="ABP2" s="139"/>
      <c r="ABQ2" s="139"/>
      <c r="ABR2" s="139"/>
      <c r="ABS2" s="139"/>
      <c r="ABT2" s="139"/>
      <c r="ABU2" s="139"/>
      <c r="ABV2" s="139"/>
      <c r="ABW2" s="139"/>
      <c r="ABX2" s="139"/>
      <c r="ABY2" s="139"/>
      <c r="ABZ2" s="139"/>
      <c r="ACA2" s="139"/>
      <c r="ACB2" s="139"/>
      <c r="ACC2" s="139"/>
      <c r="ACD2" s="139"/>
      <c r="ACE2" s="139"/>
      <c r="ACF2" s="139"/>
      <c r="ACG2" s="139"/>
      <c r="ACH2" s="139"/>
      <c r="ACI2" s="139"/>
      <c r="ACJ2" s="139"/>
      <c r="ACK2" s="139"/>
      <c r="ACL2" s="139"/>
      <c r="ACM2" s="139"/>
      <c r="ACN2" s="139"/>
      <c r="ACO2" s="139"/>
      <c r="ACP2" s="139"/>
      <c r="ACQ2" s="139"/>
      <c r="ACR2" s="139"/>
      <c r="ACS2" s="139"/>
      <c r="ACT2" s="139"/>
      <c r="ACU2" s="139"/>
      <c r="ACV2" s="139"/>
      <c r="ACW2" s="139"/>
      <c r="ACX2" s="139"/>
      <c r="ACY2" s="139"/>
      <c r="ACZ2" s="139"/>
      <c r="ADA2" s="139"/>
      <c r="ADB2" s="139"/>
      <c r="ADC2" s="139"/>
      <c r="ADD2" s="139"/>
      <c r="ADE2" s="139"/>
      <c r="ADF2" s="139"/>
      <c r="ADG2" s="139"/>
      <c r="ADH2" s="139"/>
      <c r="ADI2" s="139"/>
      <c r="ADJ2" s="139"/>
      <c r="ADK2" s="139"/>
      <c r="ADL2" s="139"/>
      <c r="ADM2" s="139"/>
      <c r="ADN2" s="139"/>
      <c r="ADO2" s="139"/>
      <c r="ADP2" s="139"/>
      <c r="ADQ2" s="139"/>
      <c r="ADR2" s="139"/>
      <c r="ADS2" s="139"/>
      <c r="ADT2" s="139"/>
      <c r="ADU2" s="139"/>
      <c r="ADV2" s="139"/>
      <c r="ADW2" s="139"/>
      <c r="ADX2" s="139"/>
      <c r="ADY2" s="139"/>
      <c r="ADZ2" s="139"/>
      <c r="AEA2" s="139"/>
      <c r="AEB2" s="139"/>
      <c r="AEC2" s="139"/>
      <c r="AED2" s="139"/>
      <c r="AEE2" s="139"/>
      <c r="AEF2" s="139"/>
      <c r="AEG2" s="139"/>
      <c r="AEH2" s="139"/>
      <c r="AEI2" s="139"/>
      <c r="AEJ2" s="139"/>
      <c r="AEK2" s="139"/>
      <c r="AEL2" s="139"/>
      <c r="AEM2" s="139"/>
      <c r="AEN2" s="139"/>
      <c r="AEO2" s="139"/>
      <c r="AEP2" s="139"/>
      <c r="AEQ2" s="139"/>
      <c r="AER2" s="139"/>
      <c r="AES2" s="139"/>
      <c r="AET2" s="139"/>
      <c r="AEU2" s="139"/>
      <c r="AEV2" s="139"/>
      <c r="AEW2" s="139"/>
      <c r="AEX2" s="139"/>
      <c r="AEY2" s="139"/>
      <c r="AEZ2" s="139"/>
      <c r="AFA2" s="139"/>
      <c r="AFB2" s="139"/>
      <c r="AFC2" s="139"/>
      <c r="AFD2" s="139"/>
      <c r="AFE2" s="139"/>
      <c r="AFF2" s="139"/>
      <c r="AFG2" s="139"/>
      <c r="AFH2" s="139"/>
      <c r="AFI2" s="139"/>
      <c r="AFJ2" s="139"/>
      <c r="AFK2" s="139"/>
      <c r="AFL2" s="139"/>
      <c r="AFM2" s="139"/>
      <c r="AFN2" s="139"/>
      <c r="AFO2" s="139"/>
      <c r="AFP2" s="139"/>
      <c r="AFQ2" s="139"/>
      <c r="AFR2" s="139"/>
      <c r="AFS2" s="139"/>
      <c r="AFT2" s="139"/>
      <c r="AFU2" s="139"/>
      <c r="AFV2" s="139"/>
      <c r="AFW2" s="139"/>
      <c r="AFX2" s="139"/>
      <c r="AFY2" s="139"/>
      <c r="AFZ2" s="139"/>
      <c r="AGA2" s="139"/>
      <c r="AGB2" s="139"/>
      <c r="AGC2" s="139"/>
      <c r="AGD2" s="139"/>
      <c r="AGE2" s="139"/>
      <c r="AGF2" s="139"/>
      <c r="AGG2" s="139"/>
      <c r="AGH2" s="139"/>
      <c r="AGI2" s="139"/>
      <c r="AGJ2" s="139"/>
      <c r="AGK2" s="139"/>
      <c r="AGL2" s="139"/>
      <c r="AGM2" s="139"/>
      <c r="AGN2" s="139"/>
      <c r="AGO2" s="139"/>
      <c r="AGP2" s="139"/>
      <c r="AGQ2" s="139"/>
      <c r="AGR2" s="139"/>
      <c r="AGS2" s="139"/>
      <c r="AGT2" s="139"/>
      <c r="AGU2" s="139"/>
      <c r="AGV2" s="139"/>
      <c r="AGW2" s="139"/>
      <c r="AGX2" s="139"/>
      <c r="AGY2" s="139"/>
      <c r="AGZ2" s="139"/>
      <c r="AHA2" s="139"/>
      <c r="AHB2" s="139"/>
      <c r="AHC2" s="139"/>
      <c r="AHD2" s="139"/>
      <c r="AHE2" s="139"/>
      <c r="AHF2" s="139"/>
      <c r="AHG2" s="139"/>
      <c r="AHH2" s="139"/>
      <c r="AHI2" s="139"/>
      <c r="AHJ2" s="139"/>
      <c r="AHK2" s="139"/>
      <c r="AHL2" s="139"/>
      <c r="AHM2" s="139"/>
      <c r="AHN2" s="139"/>
      <c r="AHO2" s="139"/>
      <c r="AHP2" s="139"/>
      <c r="AHQ2" s="139"/>
      <c r="AHR2" s="139"/>
      <c r="AHS2" s="139"/>
      <c r="AHT2" s="139"/>
      <c r="AHU2" s="139"/>
      <c r="AHV2" s="139"/>
      <c r="AHW2" s="139"/>
      <c r="AHX2" s="139"/>
      <c r="AHY2" s="139"/>
      <c r="AHZ2" s="139"/>
      <c r="AIA2" s="139"/>
      <c r="AIB2" s="139"/>
      <c r="AIC2" s="139"/>
      <c r="AID2" s="139"/>
      <c r="AIE2" s="139"/>
      <c r="AIF2" s="139"/>
      <c r="AIG2" s="139"/>
      <c r="AIH2" s="139"/>
      <c r="AII2" s="139"/>
      <c r="AIJ2" s="139"/>
      <c r="AIK2" s="139"/>
      <c r="AIL2" s="139"/>
      <c r="AIM2" s="139"/>
      <c r="AIN2" s="139"/>
      <c r="AIO2" s="139"/>
      <c r="AIP2" s="139"/>
      <c r="AIQ2" s="139"/>
      <c r="AIR2" s="139"/>
      <c r="AIS2" s="139"/>
      <c r="AIT2" s="139"/>
      <c r="AIU2" s="139"/>
      <c r="AIV2" s="139"/>
      <c r="AIW2" s="139"/>
      <c r="AIX2" s="139"/>
      <c r="AIY2" s="139"/>
      <c r="AIZ2" s="139"/>
      <c r="AJA2" s="139"/>
      <c r="AJB2" s="139"/>
      <c r="AJC2" s="139"/>
      <c r="AJD2" s="139"/>
      <c r="AJE2" s="139"/>
      <c r="AJF2" s="139"/>
      <c r="AJG2" s="139"/>
      <c r="AJH2" s="139"/>
      <c r="AJI2" s="139"/>
      <c r="AJJ2" s="139"/>
      <c r="AJK2" s="139"/>
      <c r="AJL2" s="139"/>
      <c r="AJM2" s="139"/>
      <c r="AJN2" s="139"/>
      <c r="AJO2" s="139"/>
      <c r="AJP2" s="139"/>
      <c r="AJQ2" s="139"/>
      <c r="AJR2" s="139"/>
      <c r="AJS2" s="139"/>
      <c r="AJT2" s="139"/>
      <c r="AJU2" s="139"/>
      <c r="AJV2" s="139"/>
      <c r="AJW2" s="139"/>
      <c r="AJX2" s="139"/>
      <c r="AJY2" s="139"/>
      <c r="AJZ2" s="139"/>
      <c r="AKA2" s="139"/>
      <c r="AKB2" s="139"/>
      <c r="AKC2" s="139"/>
      <c r="AKD2" s="139"/>
      <c r="AKE2" s="139"/>
      <c r="AKF2" s="139"/>
      <c r="AKG2" s="139"/>
      <c r="AKH2" s="139"/>
      <c r="AKI2" s="139"/>
      <c r="AKJ2" s="139"/>
      <c r="AKK2" s="139"/>
      <c r="AKL2" s="139"/>
      <c r="AKM2" s="139"/>
      <c r="AKN2" s="139"/>
      <c r="AKO2" s="139"/>
      <c r="AKP2" s="139"/>
      <c r="AKQ2" s="139"/>
      <c r="AKR2" s="139"/>
      <c r="AKS2" s="139"/>
      <c r="AKT2" s="139"/>
      <c r="AKU2" s="139"/>
      <c r="AKV2" s="139"/>
      <c r="AKW2" s="139"/>
      <c r="AKX2" s="139"/>
      <c r="AKY2" s="139"/>
      <c r="AKZ2" s="139"/>
      <c r="ALA2" s="139"/>
      <c r="ALB2" s="139"/>
      <c r="ALC2" s="139"/>
      <c r="ALD2" s="139"/>
      <c r="ALE2" s="139"/>
      <c r="ALF2" s="139"/>
      <c r="ALG2" s="139"/>
      <c r="ALH2" s="139"/>
      <c r="ALI2" s="139"/>
      <c r="ALJ2" s="139"/>
      <c r="ALK2" s="139"/>
      <c r="ALL2" s="139"/>
      <c r="ALM2" s="139"/>
      <c r="ALN2" s="139"/>
      <c r="ALO2" s="139"/>
      <c r="ALP2" s="139"/>
      <c r="ALQ2" s="139"/>
      <c r="ALR2" s="139"/>
      <c r="ALS2" s="139"/>
      <c r="ALT2" s="139"/>
      <c r="ALU2" s="139"/>
      <c r="ALV2" s="139"/>
      <c r="ALW2" s="139"/>
      <c r="ALX2" s="139"/>
      <c r="ALY2" s="139"/>
      <c r="ALZ2" s="139"/>
      <c r="AMA2" s="139"/>
      <c r="AMB2" s="139"/>
      <c r="AMC2" s="139"/>
      <c r="AMD2" s="139"/>
      <c r="AME2" s="139"/>
      <c r="AMF2" s="139"/>
      <c r="AMG2" s="139"/>
      <c r="AMH2" s="139"/>
      <c r="AMI2" s="139"/>
      <c r="AMJ2" s="139"/>
    </row>
    <row r="3" spans="1:1024" s="140" customFormat="1" x14ac:dyDescent="0.25">
      <c r="A3" s="207" t="s">
        <v>147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</row>
    <row r="4" spans="1:1024" s="140" customFormat="1" ht="15.75" x14ac:dyDescent="0.25">
      <c r="A4" s="144" t="s">
        <v>1</v>
      </c>
      <c r="B4" s="218" t="s">
        <v>34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  <c r="DB4" s="139"/>
      <c r="DC4" s="139"/>
      <c r="DD4" s="139"/>
      <c r="DE4" s="139"/>
      <c r="DF4" s="139"/>
      <c r="DG4" s="139"/>
      <c r="DH4" s="139"/>
      <c r="DI4" s="139"/>
      <c r="DJ4" s="139"/>
      <c r="DK4" s="139"/>
      <c r="DL4" s="139"/>
      <c r="DM4" s="139"/>
      <c r="DN4" s="139"/>
      <c r="DO4" s="139"/>
      <c r="DP4" s="139"/>
      <c r="DQ4" s="139"/>
      <c r="DR4" s="139"/>
      <c r="DS4" s="139"/>
      <c r="DT4" s="139"/>
      <c r="DU4" s="139"/>
      <c r="DV4" s="139"/>
      <c r="DW4" s="139"/>
      <c r="DX4" s="139"/>
      <c r="DY4" s="139"/>
      <c r="DZ4" s="139"/>
      <c r="EA4" s="139"/>
      <c r="EB4" s="139"/>
      <c r="EC4" s="139"/>
      <c r="ED4" s="139"/>
      <c r="EE4" s="139"/>
      <c r="EF4" s="139"/>
      <c r="EG4" s="139"/>
      <c r="EH4" s="139"/>
      <c r="EI4" s="139"/>
      <c r="EJ4" s="139"/>
      <c r="EK4" s="139"/>
      <c r="EL4" s="139"/>
      <c r="EM4" s="139"/>
      <c r="EN4" s="139"/>
      <c r="EO4" s="139"/>
      <c r="EP4" s="139"/>
      <c r="EQ4" s="139"/>
      <c r="ER4" s="139"/>
      <c r="ES4" s="139"/>
      <c r="ET4" s="139"/>
      <c r="EU4" s="139"/>
      <c r="EV4" s="139"/>
      <c r="EW4" s="139"/>
      <c r="EX4" s="139"/>
      <c r="EY4" s="139"/>
      <c r="EZ4" s="139"/>
      <c r="FA4" s="139"/>
      <c r="FB4" s="139"/>
      <c r="FC4" s="139"/>
      <c r="FD4" s="139"/>
      <c r="FE4" s="139"/>
      <c r="FF4" s="139"/>
      <c r="FG4" s="139"/>
      <c r="FH4" s="139"/>
      <c r="FI4" s="139"/>
      <c r="FJ4" s="139"/>
      <c r="FK4" s="139"/>
      <c r="FL4" s="139"/>
      <c r="FM4" s="139"/>
      <c r="FN4" s="139"/>
      <c r="FO4" s="139"/>
      <c r="FP4" s="139"/>
      <c r="FQ4" s="139"/>
      <c r="FR4" s="139"/>
      <c r="FS4" s="139"/>
      <c r="FT4" s="139"/>
      <c r="FU4" s="139"/>
      <c r="FV4" s="139"/>
      <c r="FW4" s="139"/>
      <c r="FX4" s="139"/>
      <c r="FY4" s="139"/>
      <c r="FZ4" s="139"/>
      <c r="GA4" s="139"/>
      <c r="GB4" s="139"/>
      <c r="GC4" s="139"/>
      <c r="GD4" s="139"/>
      <c r="GE4" s="139"/>
      <c r="GF4" s="139"/>
      <c r="GG4" s="139"/>
      <c r="GH4" s="139"/>
      <c r="GI4" s="139"/>
      <c r="GJ4" s="139"/>
      <c r="GK4" s="139"/>
      <c r="GL4" s="139"/>
      <c r="GM4" s="139"/>
      <c r="GN4" s="139"/>
      <c r="GO4" s="139"/>
      <c r="GP4" s="139"/>
      <c r="GQ4" s="139"/>
      <c r="GR4" s="139"/>
      <c r="GS4" s="139"/>
      <c r="GT4" s="139"/>
      <c r="GU4" s="139"/>
      <c r="GV4" s="139"/>
      <c r="GW4" s="139"/>
      <c r="GX4" s="139"/>
      <c r="GY4" s="139"/>
      <c r="GZ4" s="139"/>
      <c r="HA4" s="139"/>
      <c r="HB4" s="139"/>
      <c r="HC4" s="139"/>
      <c r="HD4" s="139"/>
      <c r="HE4" s="139"/>
      <c r="HF4" s="139"/>
      <c r="HG4" s="139"/>
      <c r="HH4" s="139"/>
      <c r="HI4" s="139"/>
      <c r="HJ4" s="139"/>
      <c r="HK4" s="139"/>
      <c r="HL4" s="139"/>
      <c r="HM4" s="139"/>
      <c r="HN4" s="139"/>
      <c r="HO4" s="139"/>
      <c r="HP4" s="139"/>
      <c r="HQ4" s="139"/>
      <c r="HR4" s="139"/>
      <c r="HS4" s="139"/>
      <c r="HT4" s="139"/>
      <c r="HU4" s="139"/>
      <c r="HV4" s="139"/>
      <c r="HW4" s="139"/>
      <c r="HX4" s="139"/>
      <c r="HY4" s="139"/>
      <c r="HZ4" s="139"/>
      <c r="IA4" s="139"/>
      <c r="IB4" s="139"/>
      <c r="IC4" s="139"/>
      <c r="ID4" s="139"/>
      <c r="IE4" s="139"/>
      <c r="IF4" s="139"/>
      <c r="IG4" s="139"/>
      <c r="IH4" s="139"/>
      <c r="II4" s="139"/>
      <c r="IJ4" s="139"/>
      <c r="IK4" s="139"/>
      <c r="IL4" s="139"/>
      <c r="IM4" s="139"/>
      <c r="IN4" s="139"/>
      <c r="IO4" s="139"/>
      <c r="IP4" s="139"/>
      <c r="IQ4" s="139"/>
      <c r="IR4" s="139"/>
      <c r="IS4" s="139"/>
      <c r="IT4" s="139"/>
      <c r="IU4" s="139"/>
      <c r="IV4" s="139"/>
      <c r="IW4" s="139"/>
      <c r="IX4" s="139"/>
      <c r="IY4" s="139"/>
      <c r="IZ4" s="139"/>
      <c r="JA4" s="139"/>
      <c r="JB4" s="139"/>
      <c r="JC4" s="139"/>
      <c r="JD4" s="139"/>
      <c r="JE4" s="139"/>
      <c r="JF4" s="139"/>
      <c r="JG4" s="139"/>
      <c r="JH4" s="139"/>
      <c r="JI4" s="139"/>
      <c r="JJ4" s="139"/>
      <c r="JK4" s="139"/>
      <c r="JL4" s="139"/>
      <c r="JM4" s="139"/>
      <c r="JN4" s="139"/>
      <c r="JO4" s="139"/>
      <c r="JP4" s="139"/>
      <c r="JQ4" s="139"/>
      <c r="JR4" s="139"/>
      <c r="JS4" s="139"/>
      <c r="JT4" s="139"/>
      <c r="JU4" s="139"/>
      <c r="JV4" s="139"/>
      <c r="JW4" s="139"/>
      <c r="JX4" s="139"/>
      <c r="JY4" s="139"/>
      <c r="JZ4" s="139"/>
      <c r="KA4" s="139"/>
      <c r="KB4" s="139"/>
      <c r="KC4" s="139"/>
      <c r="KD4" s="139"/>
      <c r="KE4" s="139"/>
      <c r="KF4" s="139"/>
      <c r="KG4" s="139"/>
      <c r="KH4" s="139"/>
      <c r="KI4" s="139"/>
      <c r="KJ4" s="139"/>
      <c r="KK4" s="139"/>
      <c r="KL4" s="139"/>
      <c r="KM4" s="139"/>
      <c r="KN4" s="139"/>
      <c r="KO4" s="139"/>
      <c r="KP4" s="139"/>
      <c r="KQ4" s="139"/>
      <c r="KR4" s="139"/>
      <c r="KS4" s="139"/>
      <c r="KT4" s="139"/>
      <c r="KU4" s="139"/>
      <c r="KV4" s="139"/>
      <c r="KW4" s="139"/>
      <c r="KX4" s="139"/>
      <c r="KY4" s="139"/>
      <c r="KZ4" s="139"/>
      <c r="LA4" s="139"/>
      <c r="LB4" s="139"/>
      <c r="LC4" s="139"/>
      <c r="LD4" s="139"/>
      <c r="LE4" s="139"/>
      <c r="LF4" s="139"/>
      <c r="LG4" s="139"/>
      <c r="LH4" s="139"/>
      <c r="LI4" s="139"/>
      <c r="LJ4" s="139"/>
      <c r="LK4" s="139"/>
      <c r="LL4" s="139"/>
      <c r="LM4" s="139"/>
      <c r="LN4" s="139"/>
      <c r="LO4" s="139"/>
      <c r="LP4" s="139"/>
      <c r="LQ4" s="139"/>
      <c r="LR4" s="139"/>
      <c r="LS4" s="139"/>
      <c r="LT4" s="139"/>
      <c r="LU4" s="139"/>
      <c r="LV4" s="139"/>
      <c r="LW4" s="139"/>
      <c r="LX4" s="139"/>
      <c r="LY4" s="139"/>
      <c r="LZ4" s="139"/>
      <c r="MA4" s="139"/>
      <c r="MB4" s="139"/>
      <c r="MC4" s="139"/>
      <c r="MD4" s="139"/>
      <c r="ME4" s="139"/>
      <c r="MF4" s="139"/>
      <c r="MG4" s="139"/>
      <c r="MH4" s="139"/>
      <c r="MI4" s="139"/>
      <c r="MJ4" s="139"/>
      <c r="MK4" s="139"/>
      <c r="ML4" s="139"/>
      <c r="MM4" s="139"/>
      <c r="MN4" s="139"/>
      <c r="MO4" s="139"/>
      <c r="MP4" s="139"/>
      <c r="MQ4" s="139"/>
      <c r="MR4" s="139"/>
      <c r="MS4" s="139"/>
      <c r="MT4" s="139"/>
      <c r="MU4" s="139"/>
      <c r="MV4" s="139"/>
      <c r="MW4" s="139"/>
      <c r="MX4" s="139"/>
      <c r="MY4" s="139"/>
      <c r="MZ4" s="139"/>
      <c r="NA4" s="139"/>
      <c r="NB4" s="139"/>
      <c r="NC4" s="139"/>
      <c r="ND4" s="139"/>
      <c r="NE4" s="139"/>
      <c r="NF4" s="139"/>
      <c r="NG4" s="139"/>
      <c r="NH4" s="139"/>
      <c r="NI4" s="139"/>
      <c r="NJ4" s="139"/>
      <c r="NK4" s="139"/>
      <c r="NL4" s="139"/>
      <c r="NM4" s="139"/>
      <c r="NN4" s="139"/>
      <c r="NO4" s="139"/>
      <c r="NP4" s="139"/>
      <c r="NQ4" s="139"/>
      <c r="NR4" s="139"/>
      <c r="NS4" s="139"/>
      <c r="NT4" s="139"/>
      <c r="NU4" s="139"/>
      <c r="NV4" s="139"/>
      <c r="NW4" s="139"/>
      <c r="NX4" s="139"/>
      <c r="NY4" s="139"/>
      <c r="NZ4" s="139"/>
      <c r="OA4" s="139"/>
      <c r="OB4" s="139"/>
      <c r="OC4" s="139"/>
      <c r="OD4" s="139"/>
      <c r="OE4" s="139"/>
      <c r="OF4" s="139"/>
      <c r="OG4" s="139"/>
      <c r="OH4" s="139"/>
      <c r="OI4" s="139"/>
      <c r="OJ4" s="139"/>
      <c r="OK4" s="139"/>
      <c r="OL4" s="139"/>
      <c r="OM4" s="139"/>
      <c r="ON4" s="139"/>
      <c r="OO4" s="139"/>
      <c r="OP4" s="139"/>
      <c r="OQ4" s="139"/>
      <c r="OR4" s="139"/>
      <c r="OS4" s="139"/>
      <c r="OT4" s="139"/>
      <c r="OU4" s="139"/>
      <c r="OV4" s="139"/>
      <c r="OW4" s="139"/>
      <c r="OX4" s="139"/>
      <c r="OY4" s="139"/>
      <c r="OZ4" s="139"/>
      <c r="PA4" s="139"/>
      <c r="PB4" s="139"/>
      <c r="PC4" s="139"/>
      <c r="PD4" s="139"/>
      <c r="PE4" s="139"/>
      <c r="PF4" s="139"/>
      <c r="PG4" s="139"/>
      <c r="PH4" s="139"/>
      <c r="PI4" s="139"/>
      <c r="PJ4" s="139"/>
      <c r="PK4" s="139"/>
      <c r="PL4" s="139"/>
      <c r="PM4" s="139"/>
      <c r="PN4" s="139"/>
      <c r="PO4" s="139"/>
      <c r="PP4" s="139"/>
      <c r="PQ4" s="139"/>
      <c r="PR4" s="139"/>
      <c r="PS4" s="139"/>
      <c r="PT4" s="139"/>
      <c r="PU4" s="139"/>
      <c r="PV4" s="139"/>
      <c r="PW4" s="139"/>
      <c r="PX4" s="139"/>
      <c r="PY4" s="139"/>
      <c r="PZ4" s="139"/>
      <c r="QA4" s="139"/>
      <c r="QB4" s="139"/>
      <c r="QC4" s="139"/>
      <c r="QD4" s="139"/>
      <c r="QE4" s="139"/>
      <c r="QF4" s="139"/>
      <c r="QG4" s="139"/>
      <c r="QH4" s="139"/>
      <c r="QI4" s="139"/>
      <c r="QJ4" s="139"/>
      <c r="QK4" s="139"/>
      <c r="QL4" s="139"/>
      <c r="QM4" s="139"/>
      <c r="QN4" s="139"/>
      <c r="QO4" s="139"/>
      <c r="QP4" s="139"/>
      <c r="QQ4" s="139"/>
      <c r="QR4" s="139"/>
      <c r="QS4" s="139"/>
      <c r="QT4" s="139"/>
      <c r="QU4" s="139"/>
      <c r="QV4" s="139"/>
      <c r="QW4" s="139"/>
      <c r="QX4" s="139"/>
      <c r="QY4" s="139"/>
      <c r="QZ4" s="139"/>
      <c r="RA4" s="139"/>
      <c r="RB4" s="139"/>
      <c r="RC4" s="139"/>
      <c r="RD4" s="139"/>
      <c r="RE4" s="139"/>
      <c r="RF4" s="139"/>
      <c r="RG4" s="139"/>
      <c r="RH4" s="139"/>
      <c r="RI4" s="139"/>
      <c r="RJ4" s="139"/>
      <c r="RK4" s="139"/>
      <c r="RL4" s="139"/>
      <c r="RM4" s="139"/>
      <c r="RN4" s="139"/>
      <c r="RO4" s="139"/>
      <c r="RP4" s="139"/>
      <c r="RQ4" s="139"/>
      <c r="RR4" s="139"/>
      <c r="RS4" s="139"/>
      <c r="RT4" s="139"/>
      <c r="RU4" s="139"/>
      <c r="RV4" s="139"/>
      <c r="RW4" s="139"/>
      <c r="RX4" s="139"/>
      <c r="RY4" s="139"/>
      <c r="RZ4" s="139"/>
      <c r="SA4" s="139"/>
      <c r="SB4" s="139"/>
      <c r="SC4" s="139"/>
      <c r="SD4" s="139"/>
      <c r="SE4" s="139"/>
      <c r="SF4" s="139"/>
      <c r="SG4" s="139"/>
      <c r="SH4" s="139"/>
      <c r="SI4" s="139"/>
      <c r="SJ4" s="139"/>
      <c r="SK4" s="139"/>
      <c r="SL4" s="139"/>
      <c r="SM4" s="139"/>
      <c r="SN4" s="139"/>
      <c r="SO4" s="139"/>
      <c r="SP4" s="139"/>
      <c r="SQ4" s="139"/>
      <c r="SR4" s="139"/>
      <c r="SS4" s="139"/>
      <c r="ST4" s="139"/>
      <c r="SU4" s="139"/>
      <c r="SV4" s="139"/>
      <c r="SW4" s="139"/>
      <c r="SX4" s="139"/>
      <c r="SY4" s="139"/>
      <c r="SZ4" s="139"/>
      <c r="TA4" s="139"/>
      <c r="TB4" s="139"/>
      <c r="TC4" s="139"/>
      <c r="TD4" s="139"/>
      <c r="TE4" s="139"/>
      <c r="TF4" s="139"/>
      <c r="TG4" s="139"/>
      <c r="TH4" s="139"/>
      <c r="TI4" s="139"/>
      <c r="TJ4" s="139"/>
      <c r="TK4" s="139"/>
      <c r="TL4" s="139"/>
      <c r="TM4" s="139"/>
      <c r="TN4" s="139"/>
      <c r="TO4" s="139"/>
      <c r="TP4" s="139"/>
      <c r="TQ4" s="139"/>
      <c r="TR4" s="139"/>
      <c r="TS4" s="139"/>
      <c r="TT4" s="139"/>
      <c r="TU4" s="139"/>
      <c r="TV4" s="139"/>
      <c r="TW4" s="139"/>
      <c r="TX4" s="139"/>
      <c r="TY4" s="139"/>
      <c r="TZ4" s="139"/>
      <c r="UA4" s="139"/>
      <c r="UB4" s="139"/>
      <c r="UC4" s="139"/>
      <c r="UD4" s="139"/>
      <c r="UE4" s="139"/>
      <c r="UF4" s="139"/>
      <c r="UG4" s="139"/>
      <c r="UH4" s="139"/>
      <c r="UI4" s="139"/>
      <c r="UJ4" s="139"/>
      <c r="UK4" s="139"/>
      <c r="UL4" s="139"/>
      <c r="UM4" s="139"/>
      <c r="UN4" s="139"/>
      <c r="UO4" s="139"/>
      <c r="UP4" s="139"/>
      <c r="UQ4" s="139"/>
      <c r="UR4" s="139"/>
      <c r="US4" s="139"/>
      <c r="UT4" s="139"/>
      <c r="UU4" s="139"/>
      <c r="UV4" s="139"/>
      <c r="UW4" s="139"/>
      <c r="UX4" s="139"/>
      <c r="UY4" s="139"/>
      <c r="UZ4" s="139"/>
      <c r="VA4" s="139"/>
      <c r="VB4" s="139"/>
      <c r="VC4" s="139"/>
      <c r="VD4" s="139"/>
      <c r="VE4" s="139"/>
      <c r="VF4" s="139"/>
      <c r="VG4" s="139"/>
      <c r="VH4" s="139"/>
      <c r="VI4" s="139"/>
      <c r="VJ4" s="139"/>
      <c r="VK4" s="139"/>
      <c r="VL4" s="139"/>
      <c r="VM4" s="139"/>
      <c r="VN4" s="139"/>
      <c r="VO4" s="139"/>
      <c r="VP4" s="139"/>
      <c r="VQ4" s="139"/>
      <c r="VR4" s="139"/>
      <c r="VS4" s="139"/>
      <c r="VT4" s="139"/>
      <c r="VU4" s="139"/>
      <c r="VV4" s="139"/>
      <c r="VW4" s="139"/>
      <c r="VX4" s="139"/>
      <c r="VY4" s="139"/>
      <c r="VZ4" s="139"/>
      <c r="WA4" s="139"/>
      <c r="WB4" s="139"/>
      <c r="WC4" s="139"/>
      <c r="WD4" s="139"/>
      <c r="WE4" s="139"/>
      <c r="WF4" s="139"/>
      <c r="WG4" s="139"/>
      <c r="WH4" s="139"/>
      <c r="WI4" s="139"/>
      <c r="WJ4" s="139"/>
      <c r="WK4" s="139"/>
      <c r="WL4" s="139"/>
      <c r="WM4" s="139"/>
      <c r="WN4" s="139"/>
      <c r="WO4" s="139"/>
      <c r="WP4" s="139"/>
      <c r="WQ4" s="139"/>
      <c r="WR4" s="139"/>
      <c r="WS4" s="139"/>
      <c r="WT4" s="139"/>
      <c r="WU4" s="139"/>
      <c r="WV4" s="139"/>
      <c r="WW4" s="139"/>
      <c r="WX4" s="139"/>
      <c r="WY4" s="139"/>
      <c r="WZ4" s="139"/>
      <c r="XA4" s="139"/>
      <c r="XB4" s="139"/>
      <c r="XC4" s="139"/>
      <c r="XD4" s="139"/>
      <c r="XE4" s="139"/>
      <c r="XF4" s="139"/>
      <c r="XG4" s="139"/>
      <c r="XH4" s="139"/>
      <c r="XI4" s="139"/>
      <c r="XJ4" s="139"/>
      <c r="XK4" s="139"/>
      <c r="XL4" s="139"/>
      <c r="XM4" s="139"/>
      <c r="XN4" s="139"/>
      <c r="XO4" s="139"/>
      <c r="XP4" s="139"/>
      <c r="XQ4" s="139"/>
      <c r="XR4" s="139"/>
      <c r="XS4" s="139"/>
      <c r="XT4" s="139"/>
      <c r="XU4" s="139"/>
      <c r="XV4" s="139"/>
      <c r="XW4" s="139"/>
      <c r="XX4" s="139"/>
      <c r="XY4" s="139"/>
      <c r="XZ4" s="139"/>
      <c r="YA4" s="139"/>
      <c r="YB4" s="139"/>
      <c r="YC4" s="139"/>
      <c r="YD4" s="139"/>
      <c r="YE4" s="139"/>
      <c r="YF4" s="139"/>
      <c r="YG4" s="139"/>
      <c r="YH4" s="139"/>
      <c r="YI4" s="139"/>
      <c r="YJ4" s="139"/>
      <c r="YK4" s="139"/>
      <c r="YL4" s="139"/>
      <c r="YM4" s="139"/>
      <c r="YN4" s="139"/>
      <c r="YO4" s="139"/>
      <c r="YP4" s="139"/>
      <c r="YQ4" s="139"/>
      <c r="YR4" s="139"/>
      <c r="YS4" s="139"/>
      <c r="YT4" s="139"/>
      <c r="YU4" s="139"/>
      <c r="YV4" s="139"/>
      <c r="YW4" s="139"/>
      <c r="YX4" s="139"/>
      <c r="YY4" s="139"/>
      <c r="YZ4" s="139"/>
      <c r="ZA4" s="139"/>
      <c r="ZB4" s="139"/>
      <c r="ZC4" s="139"/>
      <c r="ZD4" s="139"/>
      <c r="ZE4" s="139"/>
      <c r="ZF4" s="139"/>
      <c r="ZG4" s="139"/>
      <c r="ZH4" s="139"/>
      <c r="ZI4" s="139"/>
      <c r="ZJ4" s="139"/>
      <c r="ZK4" s="139"/>
      <c r="ZL4" s="139"/>
      <c r="ZM4" s="139"/>
      <c r="ZN4" s="139"/>
      <c r="ZO4" s="139"/>
      <c r="ZP4" s="139"/>
      <c r="ZQ4" s="139"/>
      <c r="ZR4" s="139"/>
      <c r="ZS4" s="139"/>
      <c r="ZT4" s="139"/>
      <c r="ZU4" s="139"/>
      <c r="ZV4" s="139"/>
      <c r="ZW4" s="139"/>
      <c r="ZX4" s="139"/>
      <c r="ZY4" s="139"/>
      <c r="ZZ4" s="139"/>
      <c r="AAA4" s="139"/>
      <c r="AAB4" s="139"/>
      <c r="AAC4" s="139"/>
      <c r="AAD4" s="139"/>
      <c r="AAE4" s="139"/>
      <c r="AAF4" s="139"/>
      <c r="AAG4" s="139"/>
      <c r="AAH4" s="139"/>
      <c r="AAI4" s="139"/>
      <c r="AAJ4" s="139"/>
      <c r="AAK4" s="139"/>
      <c r="AAL4" s="139"/>
      <c r="AAM4" s="139"/>
      <c r="AAN4" s="139"/>
      <c r="AAO4" s="139"/>
      <c r="AAP4" s="139"/>
      <c r="AAQ4" s="139"/>
      <c r="AAR4" s="139"/>
      <c r="AAS4" s="139"/>
      <c r="AAT4" s="139"/>
      <c r="AAU4" s="139"/>
      <c r="AAV4" s="139"/>
      <c r="AAW4" s="139"/>
      <c r="AAX4" s="139"/>
      <c r="AAY4" s="139"/>
      <c r="AAZ4" s="139"/>
      <c r="ABA4" s="139"/>
      <c r="ABB4" s="139"/>
      <c r="ABC4" s="139"/>
      <c r="ABD4" s="139"/>
      <c r="ABE4" s="139"/>
      <c r="ABF4" s="139"/>
      <c r="ABG4" s="139"/>
      <c r="ABH4" s="139"/>
      <c r="ABI4" s="139"/>
      <c r="ABJ4" s="139"/>
      <c r="ABK4" s="139"/>
      <c r="ABL4" s="139"/>
      <c r="ABM4" s="139"/>
      <c r="ABN4" s="139"/>
      <c r="ABO4" s="139"/>
      <c r="ABP4" s="139"/>
      <c r="ABQ4" s="139"/>
      <c r="ABR4" s="139"/>
      <c r="ABS4" s="139"/>
      <c r="ABT4" s="139"/>
      <c r="ABU4" s="139"/>
      <c r="ABV4" s="139"/>
      <c r="ABW4" s="139"/>
      <c r="ABX4" s="139"/>
      <c r="ABY4" s="139"/>
      <c r="ABZ4" s="139"/>
      <c r="ACA4" s="139"/>
      <c r="ACB4" s="139"/>
      <c r="ACC4" s="139"/>
      <c r="ACD4" s="139"/>
      <c r="ACE4" s="139"/>
      <c r="ACF4" s="139"/>
      <c r="ACG4" s="139"/>
      <c r="ACH4" s="139"/>
      <c r="ACI4" s="139"/>
      <c r="ACJ4" s="139"/>
      <c r="ACK4" s="139"/>
      <c r="ACL4" s="139"/>
      <c r="ACM4" s="139"/>
      <c r="ACN4" s="139"/>
      <c r="ACO4" s="139"/>
      <c r="ACP4" s="139"/>
      <c r="ACQ4" s="139"/>
      <c r="ACR4" s="139"/>
      <c r="ACS4" s="139"/>
      <c r="ACT4" s="139"/>
      <c r="ACU4" s="139"/>
      <c r="ACV4" s="139"/>
      <c r="ACW4" s="139"/>
      <c r="ACX4" s="139"/>
      <c r="ACY4" s="139"/>
      <c r="ACZ4" s="139"/>
      <c r="ADA4" s="139"/>
      <c r="ADB4" s="139"/>
      <c r="ADC4" s="139"/>
      <c r="ADD4" s="139"/>
      <c r="ADE4" s="139"/>
      <c r="ADF4" s="139"/>
      <c r="ADG4" s="139"/>
      <c r="ADH4" s="139"/>
      <c r="ADI4" s="139"/>
      <c r="ADJ4" s="139"/>
      <c r="ADK4" s="139"/>
      <c r="ADL4" s="139"/>
      <c r="ADM4" s="139"/>
      <c r="ADN4" s="139"/>
      <c r="ADO4" s="139"/>
      <c r="ADP4" s="139"/>
      <c r="ADQ4" s="139"/>
      <c r="ADR4" s="139"/>
      <c r="ADS4" s="139"/>
      <c r="ADT4" s="139"/>
      <c r="ADU4" s="139"/>
      <c r="ADV4" s="139"/>
      <c r="ADW4" s="139"/>
      <c r="ADX4" s="139"/>
      <c r="ADY4" s="139"/>
      <c r="ADZ4" s="139"/>
      <c r="AEA4" s="139"/>
      <c r="AEB4" s="139"/>
      <c r="AEC4" s="139"/>
      <c r="AED4" s="139"/>
      <c r="AEE4" s="139"/>
      <c r="AEF4" s="139"/>
      <c r="AEG4" s="139"/>
      <c r="AEH4" s="139"/>
      <c r="AEI4" s="139"/>
      <c r="AEJ4" s="139"/>
      <c r="AEK4" s="139"/>
      <c r="AEL4" s="139"/>
      <c r="AEM4" s="139"/>
      <c r="AEN4" s="139"/>
      <c r="AEO4" s="139"/>
      <c r="AEP4" s="139"/>
      <c r="AEQ4" s="139"/>
      <c r="AER4" s="139"/>
      <c r="AES4" s="139"/>
      <c r="AET4" s="139"/>
      <c r="AEU4" s="139"/>
      <c r="AEV4" s="139"/>
      <c r="AEW4" s="139"/>
      <c r="AEX4" s="139"/>
      <c r="AEY4" s="139"/>
      <c r="AEZ4" s="139"/>
      <c r="AFA4" s="139"/>
      <c r="AFB4" s="139"/>
      <c r="AFC4" s="139"/>
      <c r="AFD4" s="139"/>
      <c r="AFE4" s="139"/>
      <c r="AFF4" s="139"/>
      <c r="AFG4" s="139"/>
      <c r="AFH4" s="139"/>
      <c r="AFI4" s="139"/>
      <c r="AFJ4" s="139"/>
      <c r="AFK4" s="139"/>
      <c r="AFL4" s="139"/>
      <c r="AFM4" s="139"/>
      <c r="AFN4" s="139"/>
      <c r="AFO4" s="139"/>
      <c r="AFP4" s="139"/>
      <c r="AFQ4" s="139"/>
      <c r="AFR4" s="139"/>
      <c r="AFS4" s="139"/>
      <c r="AFT4" s="139"/>
      <c r="AFU4" s="139"/>
      <c r="AFV4" s="139"/>
      <c r="AFW4" s="139"/>
      <c r="AFX4" s="139"/>
      <c r="AFY4" s="139"/>
      <c r="AFZ4" s="139"/>
      <c r="AGA4" s="139"/>
      <c r="AGB4" s="139"/>
      <c r="AGC4" s="139"/>
      <c r="AGD4" s="139"/>
      <c r="AGE4" s="139"/>
      <c r="AGF4" s="139"/>
      <c r="AGG4" s="139"/>
      <c r="AGH4" s="139"/>
      <c r="AGI4" s="139"/>
      <c r="AGJ4" s="139"/>
      <c r="AGK4" s="139"/>
      <c r="AGL4" s="139"/>
      <c r="AGM4" s="139"/>
      <c r="AGN4" s="139"/>
      <c r="AGO4" s="139"/>
      <c r="AGP4" s="139"/>
      <c r="AGQ4" s="139"/>
      <c r="AGR4" s="139"/>
      <c r="AGS4" s="139"/>
      <c r="AGT4" s="139"/>
      <c r="AGU4" s="139"/>
      <c r="AGV4" s="139"/>
      <c r="AGW4" s="139"/>
      <c r="AGX4" s="139"/>
      <c r="AGY4" s="139"/>
      <c r="AGZ4" s="139"/>
      <c r="AHA4" s="139"/>
      <c r="AHB4" s="139"/>
      <c r="AHC4" s="139"/>
      <c r="AHD4" s="139"/>
      <c r="AHE4" s="139"/>
      <c r="AHF4" s="139"/>
      <c r="AHG4" s="139"/>
      <c r="AHH4" s="139"/>
      <c r="AHI4" s="139"/>
      <c r="AHJ4" s="139"/>
      <c r="AHK4" s="139"/>
      <c r="AHL4" s="139"/>
      <c r="AHM4" s="139"/>
      <c r="AHN4" s="139"/>
      <c r="AHO4" s="139"/>
      <c r="AHP4" s="139"/>
      <c r="AHQ4" s="139"/>
      <c r="AHR4" s="139"/>
      <c r="AHS4" s="139"/>
      <c r="AHT4" s="139"/>
      <c r="AHU4" s="139"/>
      <c r="AHV4" s="139"/>
      <c r="AHW4" s="139"/>
      <c r="AHX4" s="139"/>
      <c r="AHY4" s="139"/>
      <c r="AHZ4" s="139"/>
      <c r="AIA4" s="139"/>
      <c r="AIB4" s="139"/>
      <c r="AIC4" s="139"/>
      <c r="AID4" s="139"/>
      <c r="AIE4" s="139"/>
      <c r="AIF4" s="139"/>
      <c r="AIG4" s="139"/>
      <c r="AIH4" s="139"/>
      <c r="AII4" s="139"/>
      <c r="AIJ4" s="139"/>
      <c r="AIK4" s="139"/>
      <c r="AIL4" s="139"/>
      <c r="AIM4" s="139"/>
      <c r="AIN4" s="139"/>
      <c r="AIO4" s="139"/>
      <c r="AIP4" s="139"/>
      <c r="AIQ4" s="139"/>
      <c r="AIR4" s="139"/>
      <c r="AIS4" s="139"/>
      <c r="AIT4" s="139"/>
      <c r="AIU4" s="139"/>
      <c r="AIV4" s="139"/>
      <c r="AIW4" s="139"/>
      <c r="AIX4" s="139"/>
      <c r="AIY4" s="139"/>
      <c r="AIZ4" s="139"/>
      <c r="AJA4" s="139"/>
      <c r="AJB4" s="139"/>
      <c r="AJC4" s="139"/>
      <c r="AJD4" s="139"/>
      <c r="AJE4" s="139"/>
      <c r="AJF4" s="139"/>
      <c r="AJG4" s="139"/>
      <c r="AJH4" s="139"/>
      <c r="AJI4" s="139"/>
      <c r="AJJ4" s="139"/>
      <c r="AJK4" s="139"/>
      <c r="AJL4" s="139"/>
      <c r="AJM4" s="139"/>
      <c r="AJN4" s="139"/>
      <c r="AJO4" s="139"/>
      <c r="AJP4" s="139"/>
      <c r="AJQ4" s="139"/>
      <c r="AJR4" s="139"/>
      <c r="AJS4" s="139"/>
      <c r="AJT4" s="139"/>
      <c r="AJU4" s="139"/>
      <c r="AJV4" s="139"/>
      <c r="AJW4" s="139"/>
      <c r="AJX4" s="139"/>
      <c r="AJY4" s="139"/>
      <c r="AJZ4" s="139"/>
      <c r="AKA4" s="139"/>
      <c r="AKB4" s="139"/>
      <c r="AKC4" s="139"/>
      <c r="AKD4" s="139"/>
      <c r="AKE4" s="139"/>
      <c r="AKF4" s="139"/>
      <c r="AKG4" s="139"/>
      <c r="AKH4" s="139"/>
      <c r="AKI4" s="139"/>
      <c r="AKJ4" s="139"/>
      <c r="AKK4" s="139"/>
      <c r="AKL4" s="139"/>
      <c r="AKM4" s="139"/>
      <c r="AKN4" s="139"/>
      <c r="AKO4" s="139"/>
      <c r="AKP4" s="139"/>
      <c r="AKQ4" s="139"/>
      <c r="AKR4" s="139"/>
      <c r="AKS4" s="139"/>
      <c r="AKT4" s="139"/>
      <c r="AKU4" s="139"/>
      <c r="AKV4" s="139"/>
      <c r="AKW4" s="139"/>
      <c r="AKX4" s="139"/>
      <c r="AKY4" s="139"/>
      <c r="AKZ4" s="139"/>
      <c r="ALA4" s="139"/>
      <c r="ALB4" s="139"/>
      <c r="ALC4" s="139"/>
      <c r="ALD4" s="139"/>
      <c r="ALE4" s="139"/>
      <c r="ALF4" s="139"/>
      <c r="ALG4" s="139"/>
      <c r="ALH4" s="139"/>
      <c r="ALI4" s="139"/>
      <c r="ALJ4" s="139"/>
      <c r="ALK4" s="139"/>
      <c r="ALL4" s="139"/>
      <c r="ALM4" s="139"/>
      <c r="ALN4" s="139"/>
      <c r="ALO4" s="139"/>
      <c r="ALP4" s="139"/>
      <c r="ALQ4" s="139"/>
      <c r="ALR4" s="139"/>
      <c r="ALS4" s="139"/>
      <c r="ALT4" s="139"/>
      <c r="ALU4" s="139"/>
      <c r="ALV4" s="139"/>
      <c r="ALW4" s="139"/>
      <c r="ALX4" s="139"/>
      <c r="ALY4" s="139"/>
      <c r="ALZ4" s="139"/>
      <c r="AMA4" s="139"/>
      <c r="AMB4" s="139"/>
      <c r="AMC4" s="139"/>
      <c r="AMD4" s="139"/>
      <c r="AME4" s="139"/>
      <c r="AMF4" s="139"/>
      <c r="AMG4" s="139"/>
      <c r="AMH4" s="139"/>
      <c r="AMI4" s="139"/>
      <c r="AMJ4" s="139"/>
    </row>
    <row r="5" spans="1:1024" s="140" customFormat="1" x14ac:dyDescent="0.25">
      <c r="A5" s="146" t="s">
        <v>2</v>
      </c>
      <c r="B5" s="215" t="str">
        <f>CONCATENATE(B38,C38,D38,E38,F38,G38,H38,I38,J38,K38,L38,M38,N38,O38,P38,Q38,R38,S38,T38,U38,V38,W38,X38,Y38,Z38,AA38,AB38,AC38,AD38,AE38,AF38,AG38,AH38,AI38,AJ38,AK38)</f>
        <v>110001011000001010100001000010000111000001010000100100000100101100110001000101000000000000000000000000000000000000000000000000000000000000000000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  <c r="DX5" s="139"/>
      <c r="DY5" s="139"/>
      <c r="DZ5" s="139"/>
      <c r="EA5" s="139"/>
      <c r="EB5" s="139"/>
      <c r="EC5" s="139"/>
      <c r="ED5" s="139"/>
      <c r="EE5" s="139"/>
      <c r="EF5" s="139"/>
      <c r="EG5" s="139"/>
      <c r="EH5" s="139"/>
      <c r="EI5" s="139"/>
      <c r="EJ5" s="139"/>
      <c r="EK5" s="139"/>
      <c r="EL5" s="139"/>
      <c r="EM5" s="139"/>
      <c r="EN5" s="139"/>
      <c r="EO5" s="139"/>
      <c r="EP5" s="139"/>
      <c r="EQ5" s="139"/>
      <c r="ER5" s="139"/>
      <c r="ES5" s="139"/>
      <c r="ET5" s="139"/>
      <c r="EU5" s="139"/>
      <c r="EV5" s="139"/>
      <c r="EW5" s="139"/>
      <c r="EX5" s="139"/>
      <c r="EY5" s="139"/>
      <c r="EZ5" s="139"/>
      <c r="FA5" s="139"/>
      <c r="FB5" s="139"/>
      <c r="FC5" s="139"/>
      <c r="FD5" s="139"/>
      <c r="FE5" s="139"/>
      <c r="FF5" s="139"/>
      <c r="FG5" s="139"/>
      <c r="FH5" s="139"/>
      <c r="FI5" s="139"/>
      <c r="FJ5" s="139"/>
      <c r="FK5" s="139"/>
      <c r="FL5" s="139"/>
      <c r="FM5" s="139"/>
      <c r="FN5" s="139"/>
      <c r="FO5" s="139"/>
      <c r="FP5" s="139"/>
      <c r="FQ5" s="139"/>
      <c r="FR5" s="139"/>
      <c r="FS5" s="139"/>
      <c r="FT5" s="139"/>
      <c r="FU5" s="139"/>
      <c r="FV5" s="139"/>
      <c r="FW5" s="139"/>
      <c r="FX5" s="139"/>
      <c r="FY5" s="139"/>
      <c r="FZ5" s="139"/>
      <c r="GA5" s="139"/>
      <c r="GB5" s="139"/>
      <c r="GC5" s="139"/>
      <c r="GD5" s="139"/>
      <c r="GE5" s="139"/>
      <c r="GF5" s="139"/>
      <c r="GG5" s="139"/>
      <c r="GH5" s="139"/>
      <c r="GI5" s="139"/>
      <c r="GJ5" s="139"/>
      <c r="GK5" s="139"/>
      <c r="GL5" s="139"/>
      <c r="GM5" s="139"/>
      <c r="GN5" s="139"/>
      <c r="GO5" s="139"/>
      <c r="GP5" s="139"/>
      <c r="GQ5" s="139"/>
      <c r="GR5" s="139"/>
      <c r="GS5" s="139"/>
      <c r="GT5" s="139"/>
      <c r="GU5" s="139"/>
      <c r="GV5" s="139"/>
      <c r="GW5" s="139"/>
      <c r="GX5" s="139"/>
      <c r="GY5" s="139"/>
      <c r="GZ5" s="139"/>
      <c r="HA5" s="139"/>
      <c r="HB5" s="139"/>
      <c r="HC5" s="139"/>
      <c r="HD5" s="139"/>
      <c r="HE5" s="139"/>
      <c r="HF5" s="139"/>
      <c r="HG5" s="139"/>
      <c r="HH5" s="139"/>
      <c r="HI5" s="139"/>
      <c r="HJ5" s="139"/>
      <c r="HK5" s="139"/>
      <c r="HL5" s="139"/>
      <c r="HM5" s="139"/>
      <c r="HN5" s="139"/>
      <c r="HO5" s="139"/>
      <c r="HP5" s="139"/>
      <c r="HQ5" s="139"/>
      <c r="HR5" s="139"/>
      <c r="HS5" s="139"/>
      <c r="HT5" s="139"/>
      <c r="HU5" s="139"/>
      <c r="HV5" s="139"/>
      <c r="HW5" s="139"/>
      <c r="HX5" s="139"/>
      <c r="HY5" s="139"/>
      <c r="HZ5" s="139"/>
      <c r="IA5" s="139"/>
      <c r="IB5" s="139"/>
      <c r="IC5" s="139"/>
      <c r="ID5" s="139"/>
      <c r="IE5" s="139"/>
      <c r="IF5" s="139"/>
      <c r="IG5" s="139"/>
      <c r="IH5" s="139"/>
      <c r="II5" s="139"/>
      <c r="IJ5" s="139"/>
      <c r="IK5" s="139"/>
      <c r="IL5" s="139"/>
      <c r="IM5" s="139"/>
      <c r="IN5" s="139"/>
      <c r="IO5" s="139"/>
      <c r="IP5" s="139"/>
      <c r="IQ5" s="139"/>
      <c r="IR5" s="139"/>
      <c r="IS5" s="139"/>
      <c r="IT5" s="139"/>
      <c r="IU5" s="139"/>
      <c r="IV5" s="139"/>
      <c r="IW5" s="139"/>
      <c r="IX5" s="139"/>
      <c r="IY5" s="139"/>
      <c r="IZ5" s="139"/>
      <c r="JA5" s="139"/>
      <c r="JB5" s="139"/>
      <c r="JC5" s="139"/>
      <c r="JD5" s="139"/>
      <c r="JE5" s="139"/>
      <c r="JF5" s="139"/>
      <c r="JG5" s="139"/>
      <c r="JH5" s="139"/>
      <c r="JI5" s="139"/>
      <c r="JJ5" s="139"/>
      <c r="JK5" s="139"/>
      <c r="JL5" s="139"/>
      <c r="JM5" s="139"/>
      <c r="JN5" s="139"/>
      <c r="JO5" s="139"/>
      <c r="JP5" s="139"/>
      <c r="JQ5" s="139"/>
      <c r="JR5" s="139"/>
      <c r="JS5" s="139"/>
      <c r="JT5" s="139"/>
      <c r="JU5" s="139"/>
      <c r="JV5" s="139"/>
      <c r="JW5" s="139"/>
      <c r="JX5" s="139"/>
      <c r="JY5" s="139"/>
      <c r="JZ5" s="139"/>
      <c r="KA5" s="139"/>
      <c r="KB5" s="139"/>
      <c r="KC5" s="139"/>
      <c r="KD5" s="139"/>
      <c r="KE5" s="139"/>
      <c r="KF5" s="139"/>
      <c r="KG5" s="139"/>
      <c r="KH5" s="139"/>
      <c r="KI5" s="139"/>
      <c r="KJ5" s="139"/>
      <c r="KK5" s="139"/>
      <c r="KL5" s="139"/>
      <c r="KM5" s="139"/>
      <c r="KN5" s="139"/>
      <c r="KO5" s="139"/>
      <c r="KP5" s="139"/>
      <c r="KQ5" s="139"/>
      <c r="KR5" s="139"/>
      <c r="KS5" s="139"/>
      <c r="KT5" s="139"/>
      <c r="KU5" s="139"/>
      <c r="KV5" s="139"/>
      <c r="KW5" s="139"/>
      <c r="KX5" s="139"/>
      <c r="KY5" s="139"/>
      <c r="KZ5" s="139"/>
      <c r="LA5" s="139"/>
      <c r="LB5" s="139"/>
      <c r="LC5" s="139"/>
      <c r="LD5" s="139"/>
      <c r="LE5" s="139"/>
      <c r="LF5" s="139"/>
      <c r="LG5" s="139"/>
      <c r="LH5" s="139"/>
      <c r="LI5" s="139"/>
      <c r="LJ5" s="139"/>
      <c r="LK5" s="139"/>
      <c r="LL5" s="139"/>
      <c r="LM5" s="139"/>
      <c r="LN5" s="139"/>
      <c r="LO5" s="139"/>
      <c r="LP5" s="139"/>
      <c r="LQ5" s="139"/>
      <c r="LR5" s="139"/>
      <c r="LS5" s="139"/>
      <c r="LT5" s="139"/>
      <c r="LU5" s="139"/>
      <c r="LV5" s="139"/>
      <c r="LW5" s="139"/>
      <c r="LX5" s="139"/>
      <c r="LY5" s="139"/>
      <c r="LZ5" s="139"/>
      <c r="MA5" s="139"/>
      <c r="MB5" s="139"/>
      <c r="MC5" s="139"/>
      <c r="MD5" s="139"/>
      <c r="ME5" s="139"/>
      <c r="MF5" s="139"/>
      <c r="MG5" s="139"/>
      <c r="MH5" s="139"/>
      <c r="MI5" s="139"/>
      <c r="MJ5" s="139"/>
      <c r="MK5" s="139"/>
      <c r="ML5" s="139"/>
      <c r="MM5" s="139"/>
      <c r="MN5" s="139"/>
      <c r="MO5" s="139"/>
      <c r="MP5" s="139"/>
      <c r="MQ5" s="139"/>
      <c r="MR5" s="139"/>
      <c r="MS5" s="139"/>
      <c r="MT5" s="139"/>
      <c r="MU5" s="139"/>
      <c r="MV5" s="139"/>
      <c r="MW5" s="139"/>
      <c r="MX5" s="139"/>
      <c r="MY5" s="139"/>
      <c r="MZ5" s="139"/>
      <c r="NA5" s="139"/>
      <c r="NB5" s="139"/>
      <c r="NC5" s="139"/>
      <c r="ND5" s="139"/>
      <c r="NE5" s="139"/>
      <c r="NF5" s="139"/>
      <c r="NG5" s="139"/>
      <c r="NH5" s="139"/>
      <c r="NI5" s="139"/>
      <c r="NJ5" s="139"/>
      <c r="NK5" s="139"/>
      <c r="NL5" s="139"/>
      <c r="NM5" s="139"/>
      <c r="NN5" s="139"/>
      <c r="NO5" s="139"/>
      <c r="NP5" s="139"/>
      <c r="NQ5" s="139"/>
      <c r="NR5" s="139"/>
      <c r="NS5" s="139"/>
      <c r="NT5" s="139"/>
      <c r="NU5" s="139"/>
      <c r="NV5" s="139"/>
      <c r="NW5" s="139"/>
      <c r="NX5" s="139"/>
      <c r="NY5" s="139"/>
      <c r="NZ5" s="139"/>
      <c r="OA5" s="139"/>
      <c r="OB5" s="139"/>
      <c r="OC5" s="139"/>
      <c r="OD5" s="139"/>
      <c r="OE5" s="139"/>
      <c r="OF5" s="139"/>
      <c r="OG5" s="139"/>
      <c r="OH5" s="139"/>
      <c r="OI5" s="139"/>
      <c r="OJ5" s="139"/>
      <c r="OK5" s="139"/>
      <c r="OL5" s="139"/>
      <c r="OM5" s="139"/>
      <c r="ON5" s="139"/>
      <c r="OO5" s="139"/>
      <c r="OP5" s="139"/>
      <c r="OQ5" s="139"/>
      <c r="OR5" s="139"/>
      <c r="OS5" s="139"/>
      <c r="OT5" s="139"/>
      <c r="OU5" s="139"/>
      <c r="OV5" s="139"/>
      <c r="OW5" s="139"/>
      <c r="OX5" s="139"/>
      <c r="OY5" s="139"/>
      <c r="OZ5" s="139"/>
      <c r="PA5" s="139"/>
      <c r="PB5" s="139"/>
      <c r="PC5" s="139"/>
      <c r="PD5" s="139"/>
      <c r="PE5" s="139"/>
      <c r="PF5" s="139"/>
      <c r="PG5" s="139"/>
      <c r="PH5" s="139"/>
      <c r="PI5" s="139"/>
      <c r="PJ5" s="139"/>
      <c r="PK5" s="139"/>
      <c r="PL5" s="139"/>
      <c r="PM5" s="139"/>
      <c r="PN5" s="139"/>
      <c r="PO5" s="139"/>
      <c r="PP5" s="139"/>
      <c r="PQ5" s="139"/>
      <c r="PR5" s="139"/>
      <c r="PS5" s="139"/>
      <c r="PT5" s="139"/>
      <c r="PU5" s="139"/>
      <c r="PV5" s="139"/>
      <c r="PW5" s="139"/>
      <c r="PX5" s="139"/>
      <c r="PY5" s="139"/>
      <c r="PZ5" s="139"/>
      <c r="QA5" s="139"/>
      <c r="QB5" s="139"/>
      <c r="QC5" s="139"/>
      <c r="QD5" s="139"/>
      <c r="QE5" s="139"/>
      <c r="QF5" s="139"/>
      <c r="QG5" s="139"/>
      <c r="QH5" s="139"/>
      <c r="QI5" s="139"/>
      <c r="QJ5" s="139"/>
      <c r="QK5" s="139"/>
      <c r="QL5" s="139"/>
      <c r="QM5" s="139"/>
      <c r="QN5" s="139"/>
      <c r="QO5" s="139"/>
      <c r="QP5" s="139"/>
      <c r="QQ5" s="139"/>
      <c r="QR5" s="139"/>
      <c r="QS5" s="139"/>
      <c r="QT5" s="139"/>
      <c r="QU5" s="139"/>
      <c r="QV5" s="139"/>
      <c r="QW5" s="139"/>
      <c r="QX5" s="139"/>
      <c r="QY5" s="139"/>
      <c r="QZ5" s="139"/>
      <c r="RA5" s="139"/>
      <c r="RB5" s="139"/>
      <c r="RC5" s="139"/>
      <c r="RD5" s="139"/>
      <c r="RE5" s="139"/>
      <c r="RF5" s="139"/>
      <c r="RG5" s="139"/>
      <c r="RH5" s="139"/>
      <c r="RI5" s="139"/>
      <c r="RJ5" s="139"/>
      <c r="RK5" s="139"/>
      <c r="RL5" s="139"/>
      <c r="RM5" s="139"/>
      <c r="RN5" s="139"/>
      <c r="RO5" s="139"/>
      <c r="RP5" s="139"/>
      <c r="RQ5" s="139"/>
      <c r="RR5" s="139"/>
      <c r="RS5" s="139"/>
      <c r="RT5" s="139"/>
      <c r="RU5" s="139"/>
      <c r="RV5" s="139"/>
      <c r="RW5" s="139"/>
      <c r="RX5" s="139"/>
      <c r="RY5" s="139"/>
      <c r="RZ5" s="139"/>
      <c r="SA5" s="139"/>
      <c r="SB5" s="139"/>
      <c r="SC5" s="139"/>
      <c r="SD5" s="139"/>
      <c r="SE5" s="139"/>
      <c r="SF5" s="139"/>
      <c r="SG5" s="139"/>
      <c r="SH5" s="139"/>
      <c r="SI5" s="139"/>
      <c r="SJ5" s="139"/>
      <c r="SK5" s="139"/>
      <c r="SL5" s="139"/>
      <c r="SM5" s="139"/>
      <c r="SN5" s="139"/>
      <c r="SO5" s="139"/>
      <c r="SP5" s="139"/>
      <c r="SQ5" s="139"/>
      <c r="SR5" s="139"/>
      <c r="SS5" s="139"/>
      <c r="ST5" s="139"/>
      <c r="SU5" s="139"/>
      <c r="SV5" s="139"/>
      <c r="SW5" s="139"/>
      <c r="SX5" s="139"/>
      <c r="SY5" s="139"/>
      <c r="SZ5" s="139"/>
      <c r="TA5" s="139"/>
      <c r="TB5" s="139"/>
      <c r="TC5" s="139"/>
      <c r="TD5" s="139"/>
      <c r="TE5" s="139"/>
      <c r="TF5" s="139"/>
      <c r="TG5" s="139"/>
      <c r="TH5" s="139"/>
      <c r="TI5" s="139"/>
      <c r="TJ5" s="139"/>
      <c r="TK5" s="139"/>
      <c r="TL5" s="139"/>
      <c r="TM5" s="139"/>
      <c r="TN5" s="139"/>
      <c r="TO5" s="139"/>
      <c r="TP5" s="139"/>
      <c r="TQ5" s="139"/>
      <c r="TR5" s="139"/>
      <c r="TS5" s="139"/>
      <c r="TT5" s="139"/>
      <c r="TU5" s="139"/>
      <c r="TV5" s="139"/>
      <c r="TW5" s="139"/>
      <c r="TX5" s="139"/>
      <c r="TY5" s="139"/>
      <c r="TZ5" s="139"/>
      <c r="UA5" s="139"/>
      <c r="UB5" s="139"/>
      <c r="UC5" s="139"/>
      <c r="UD5" s="139"/>
      <c r="UE5" s="139"/>
      <c r="UF5" s="139"/>
      <c r="UG5" s="139"/>
      <c r="UH5" s="139"/>
      <c r="UI5" s="139"/>
      <c r="UJ5" s="139"/>
      <c r="UK5" s="139"/>
      <c r="UL5" s="139"/>
      <c r="UM5" s="139"/>
      <c r="UN5" s="139"/>
      <c r="UO5" s="139"/>
      <c r="UP5" s="139"/>
      <c r="UQ5" s="139"/>
      <c r="UR5" s="139"/>
      <c r="US5" s="139"/>
      <c r="UT5" s="139"/>
      <c r="UU5" s="139"/>
      <c r="UV5" s="139"/>
      <c r="UW5" s="139"/>
      <c r="UX5" s="139"/>
      <c r="UY5" s="139"/>
      <c r="UZ5" s="139"/>
      <c r="VA5" s="139"/>
      <c r="VB5" s="139"/>
      <c r="VC5" s="139"/>
      <c r="VD5" s="139"/>
      <c r="VE5" s="139"/>
      <c r="VF5" s="139"/>
      <c r="VG5" s="139"/>
      <c r="VH5" s="139"/>
      <c r="VI5" s="139"/>
      <c r="VJ5" s="139"/>
      <c r="VK5" s="139"/>
      <c r="VL5" s="139"/>
      <c r="VM5" s="139"/>
      <c r="VN5" s="139"/>
      <c r="VO5" s="139"/>
      <c r="VP5" s="139"/>
      <c r="VQ5" s="139"/>
      <c r="VR5" s="139"/>
      <c r="VS5" s="139"/>
      <c r="VT5" s="139"/>
      <c r="VU5" s="139"/>
      <c r="VV5" s="139"/>
      <c r="VW5" s="139"/>
      <c r="VX5" s="139"/>
      <c r="VY5" s="139"/>
      <c r="VZ5" s="139"/>
      <c r="WA5" s="139"/>
      <c r="WB5" s="139"/>
      <c r="WC5" s="139"/>
      <c r="WD5" s="139"/>
      <c r="WE5" s="139"/>
      <c r="WF5" s="139"/>
      <c r="WG5" s="139"/>
      <c r="WH5" s="139"/>
      <c r="WI5" s="139"/>
      <c r="WJ5" s="139"/>
      <c r="WK5" s="139"/>
      <c r="WL5" s="139"/>
      <c r="WM5" s="139"/>
      <c r="WN5" s="139"/>
      <c r="WO5" s="139"/>
      <c r="WP5" s="139"/>
      <c r="WQ5" s="139"/>
      <c r="WR5" s="139"/>
      <c r="WS5" s="139"/>
      <c r="WT5" s="139"/>
      <c r="WU5" s="139"/>
      <c r="WV5" s="139"/>
      <c r="WW5" s="139"/>
      <c r="WX5" s="139"/>
      <c r="WY5" s="139"/>
      <c r="WZ5" s="139"/>
      <c r="XA5" s="139"/>
      <c r="XB5" s="139"/>
      <c r="XC5" s="139"/>
      <c r="XD5" s="139"/>
      <c r="XE5" s="139"/>
      <c r="XF5" s="139"/>
      <c r="XG5" s="139"/>
      <c r="XH5" s="139"/>
      <c r="XI5" s="139"/>
      <c r="XJ5" s="139"/>
      <c r="XK5" s="139"/>
      <c r="XL5" s="139"/>
      <c r="XM5" s="139"/>
      <c r="XN5" s="139"/>
      <c r="XO5" s="139"/>
      <c r="XP5" s="139"/>
      <c r="XQ5" s="139"/>
      <c r="XR5" s="139"/>
      <c r="XS5" s="139"/>
      <c r="XT5" s="139"/>
      <c r="XU5" s="139"/>
      <c r="XV5" s="139"/>
      <c r="XW5" s="139"/>
      <c r="XX5" s="139"/>
      <c r="XY5" s="139"/>
      <c r="XZ5" s="139"/>
      <c r="YA5" s="139"/>
      <c r="YB5" s="139"/>
      <c r="YC5" s="139"/>
      <c r="YD5" s="139"/>
      <c r="YE5" s="139"/>
      <c r="YF5" s="139"/>
      <c r="YG5" s="139"/>
      <c r="YH5" s="139"/>
      <c r="YI5" s="139"/>
      <c r="YJ5" s="139"/>
      <c r="YK5" s="139"/>
      <c r="YL5" s="139"/>
      <c r="YM5" s="139"/>
      <c r="YN5" s="139"/>
      <c r="YO5" s="139"/>
      <c r="YP5" s="139"/>
      <c r="YQ5" s="139"/>
      <c r="YR5" s="139"/>
      <c r="YS5" s="139"/>
      <c r="YT5" s="139"/>
      <c r="YU5" s="139"/>
      <c r="YV5" s="139"/>
      <c r="YW5" s="139"/>
      <c r="YX5" s="139"/>
      <c r="YY5" s="139"/>
      <c r="YZ5" s="139"/>
      <c r="ZA5" s="139"/>
      <c r="ZB5" s="139"/>
      <c r="ZC5" s="139"/>
      <c r="ZD5" s="139"/>
      <c r="ZE5" s="139"/>
      <c r="ZF5" s="139"/>
      <c r="ZG5" s="139"/>
      <c r="ZH5" s="139"/>
      <c r="ZI5" s="139"/>
      <c r="ZJ5" s="139"/>
      <c r="ZK5" s="139"/>
      <c r="ZL5" s="139"/>
      <c r="ZM5" s="139"/>
      <c r="ZN5" s="139"/>
      <c r="ZO5" s="139"/>
      <c r="ZP5" s="139"/>
      <c r="ZQ5" s="139"/>
      <c r="ZR5" s="139"/>
      <c r="ZS5" s="139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</row>
    <row r="6" spans="1:1024" s="140" customFormat="1" x14ac:dyDescent="0.25">
      <c r="A6" s="146" t="s">
        <v>3</v>
      </c>
      <c r="B6" s="147">
        <v>1</v>
      </c>
      <c r="C6" s="148">
        <f t="shared" ref="C6:K6" si="0">B6+B13</f>
        <v>3</v>
      </c>
      <c r="D6" s="148">
        <f t="shared" si="0"/>
        <v>29</v>
      </c>
      <c r="E6" s="148">
        <f t="shared" si="0"/>
        <v>54</v>
      </c>
      <c r="F6" s="148">
        <f t="shared" si="0"/>
        <v>56</v>
      </c>
      <c r="G6" s="148">
        <f t="shared" si="0"/>
        <v>59</v>
      </c>
      <c r="H6" s="148">
        <f t="shared" si="0"/>
        <v>67</v>
      </c>
      <c r="I6" s="148">
        <f t="shared" si="0"/>
        <v>75</v>
      </c>
      <c r="J6" s="148">
        <f t="shared" si="0"/>
        <v>83</v>
      </c>
      <c r="K6" s="148">
        <f t="shared" si="0"/>
        <v>91</v>
      </c>
      <c r="L6" s="14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39"/>
      <c r="DK6" s="139"/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39"/>
      <c r="EA6" s="139"/>
      <c r="EB6" s="139"/>
      <c r="EC6" s="139"/>
      <c r="ED6" s="139"/>
      <c r="EE6" s="139"/>
      <c r="EF6" s="139"/>
      <c r="EG6" s="139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S6" s="139"/>
      <c r="FT6" s="139"/>
      <c r="FU6" s="139"/>
      <c r="FV6" s="139"/>
      <c r="FW6" s="139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39"/>
      <c r="HD6" s="139"/>
      <c r="HE6" s="139"/>
      <c r="HF6" s="139"/>
      <c r="HG6" s="139"/>
      <c r="HH6" s="139"/>
      <c r="HI6" s="139"/>
      <c r="HJ6" s="139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  <c r="IV6" s="139"/>
      <c r="IW6" s="139"/>
      <c r="IX6" s="139"/>
      <c r="IY6" s="139"/>
      <c r="IZ6" s="139"/>
      <c r="JA6" s="139"/>
      <c r="JB6" s="139"/>
      <c r="JC6" s="139"/>
      <c r="JD6" s="139"/>
      <c r="JE6" s="139"/>
      <c r="JF6" s="139"/>
      <c r="JG6" s="139"/>
      <c r="JH6" s="139"/>
      <c r="JI6" s="139"/>
      <c r="JJ6" s="139"/>
      <c r="JK6" s="139"/>
      <c r="JL6" s="139"/>
      <c r="JM6" s="139"/>
      <c r="JN6" s="139"/>
      <c r="JO6" s="139"/>
      <c r="JP6" s="139"/>
      <c r="JQ6" s="139"/>
      <c r="JR6" s="139"/>
      <c r="JS6" s="139"/>
      <c r="JT6" s="139"/>
      <c r="JU6" s="139"/>
      <c r="JV6" s="139"/>
      <c r="JW6" s="139"/>
      <c r="JX6" s="139"/>
      <c r="JY6" s="139"/>
      <c r="JZ6" s="139"/>
      <c r="KA6" s="139"/>
      <c r="KB6" s="139"/>
      <c r="KC6" s="139"/>
      <c r="KD6" s="139"/>
      <c r="KE6" s="139"/>
      <c r="KF6" s="139"/>
      <c r="KG6" s="139"/>
      <c r="KH6" s="139"/>
      <c r="KI6" s="139"/>
      <c r="KJ6" s="139"/>
      <c r="KK6" s="139"/>
      <c r="KL6" s="139"/>
      <c r="KM6" s="139"/>
      <c r="KN6" s="139"/>
      <c r="KO6" s="139"/>
      <c r="KP6" s="139"/>
      <c r="KQ6" s="139"/>
      <c r="KR6" s="139"/>
      <c r="KS6" s="139"/>
      <c r="KT6" s="139"/>
      <c r="KU6" s="139"/>
      <c r="KV6" s="139"/>
      <c r="KW6" s="139"/>
      <c r="KX6" s="139"/>
      <c r="KY6" s="139"/>
      <c r="KZ6" s="139"/>
      <c r="LA6" s="139"/>
      <c r="LB6" s="139"/>
      <c r="LC6" s="139"/>
      <c r="LD6" s="139"/>
      <c r="LE6" s="139"/>
      <c r="LF6" s="139"/>
      <c r="LG6" s="139"/>
      <c r="LH6" s="139"/>
      <c r="LI6" s="139"/>
      <c r="LJ6" s="139"/>
      <c r="LK6" s="139"/>
      <c r="LL6" s="139"/>
      <c r="LM6" s="139"/>
      <c r="LN6" s="139"/>
      <c r="LO6" s="139"/>
      <c r="LP6" s="139"/>
      <c r="LQ6" s="139"/>
      <c r="LR6" s="139"/>
      <c r="LS6" s="139"/>
      <c r="LT6" s="139"/>
      <c r="LU6" s="139"/>
      <c r="LV6" s="139"/>
      <c r="LW6" s="139"/>
      <c r="LX6" s="139"/>
      <c r="LY6" s="139"/>
      <c r="LZ6" s="139"/>
      <c r="MA6" s="139"/>
      <c r="MB6" s="139"/>
      <c r="MC6" s="139"/>
      <c r="MD6" s="139"/>
      <c r="ME6" s="139"/>
      <c r="MF6" s="139"/>
      <c r="MG6" s="139"/>
      <c r="MH6" s="139"/>
      <c r="MI6" s="139"/>
      <c r="MJ6" s="139"/>
      <c r="MK6" s="139"/>
      <c r="ML6" s="139"/>
      <c r="MM6" s="139"/>
      <c r="MN6" s="139"/>
      <c r="MO6" s="139"/>
      <c r="MP6" s="139"/>
      <c r="MQ6" s="139"/>
      <c r="MR6" s="139"/>
      <c r="MS6" s="139"/>
      <c r="MT6" s="139"/>
      <c r="MU6" s="139"/>
      <c r="MV6" s="139"/>
      <c r="MW6" s="139"/>
      <c r="MX6" s="139"/>
      <c r="MY6" s="139"/>
      <c r="MZ6" s="139"/>
      <c r="NA6" s="139"/>
      <c r="NB6" s="139"/>
      <c r="NC6" s="139"/>
      <c r="ND6" s="139"/>
      <c r="NE6" s="139"/>
      <c r="NF6" s="139"/>
      <c r="NG6" s="139"/>
      <c r="NH6" s="139"/>
      <c r="NI6" s="139"/>
      <c r="NJ6" s="139"/>
      <c r="NK6" s="139"/>
      <c r="NL6" s="139"/>
      <c r="NM6" s="139"/>
      <c r="NN6" s="139"/>
      <c r="NO6" s="139"/>
      <c r="NP6" s="139"/>
      <c r="NQ6" s="139"/>
      <c r="NR6" s="139"/>
      <c r="NS6" s="139"/>
      <c r="NT6" s="139"/>
      <c r="NU6" s="139"/>
      <c r="NV6" s="139"/>
      <c r="NW6" s="139"/>
      <c r="NX6" s="139"/>
      <c r="NY6" s="139"/>
      <c r="NZ6" s="139"/>
      <c r="OA6" s="139"/>
      <c r="OB6" s="139"/>
      <c r="OC6" s="139"/>
      <c r="OD6" s="139"/>
      <c r="OE6" s="139"/>
      <c r="OF6" s="139"/>
      <c r="OG6" s="139"/>
      <c r="OH6" s="139"/>
      <c r="OI6" s="139"/>
      <c r="OJ6" s="139"/>
      <c r="OK6" s="139"/>
      <c r="OL6" s="139"/>
      <c r="OM6" s="139"/>
      <c r="ON6" s="139"/>
      <c r="OO6" s="139"/>
      <c r="OP6" s="139"/>
      <c r="OQ6" s="139"/>
      <c r="OR6" s="139"/>
      <c r="OS6" s="139"/>
      <c r="OT6" s="139"/>
      <c r="OU6" s="139"/>
      <c r="OV6" s="139"/>
      <c r="OW6" s="139"/>
      <c r="OX6" s="139"/>
      <c r="OY6" s="139"/>
      <c r="OZ6" s="139"/>
      <c r="PA6" s="139"/>
      <c r="PB6" s="139"/>
      <c r="PC6" s="139"/>
      <c r="PD6" s="139"/>
      <c r="PE6" s="139"/>
      <c r="PF6" s="139"/>
      <c r="PG6" s="139"/>
      <c r="PH6" s="139"/>
      <c r="PI6" s="139"/>
      <c r="PJ6" s="139"/>
      <c r="PK6" s="139"/>
      <c r="PL6" s="139"/>
      <c r="PM6" s="139"/>
      <c r="PN6" s="139"/>
      <c r="PO6" s="139"/>
      <c r="PP6" s="139"/>
      <c r="PQ6" s="139"/>
      <c r="PR6" s="139"/>
      <c r="PS6" s="139"/>
      <c r="PT6" s="139"/>
      <c r="PU6" s="139"/>
      <c r="PV6" s="139"/>
      <c r="PW6" s="139"/>
      <c r="PX6" s="139"/>
      <c r="PY6" s="139"/>
      <c r="PZ6" s="139"/>
      <c r="QA6" s="139"/>
      <c r="QB6" s="139"/>
      <c r="QC6" s="139"/>
      <c r="QD6" s="139"/>
      <c r="QE6" s="139"/>
      <c r="QF6" s="139"/>
      <c r="QG6" s="139"/>
      <c r="QH6" s="139"/>
      <c r="QI6" s="139"/>
      <c r="QJ6" s="139"/>
      <c r="QK6" s="139"/>
      <c r="QL6" s="139"/>
      <c r="QM6" s="139"/>
      <c r="QN6" s="139"/>
      <c r="QO6" s="139"/>
      <c r="QP6" s="139"/>
      <c r="QQ6" s="139"/>
      <c r="QR6" s="139"/>
      <c r="QS6" s="139"/>
      <c r="QT6" s="139"/>
      <c r="QU6" s="139"/>
      <c r="QV6" s="139"/>
      <c r="QW6" s="139"/>
      <c r="QX6" s="139"/>
      <c r="QY6" s="139"/>
      <c r="QZ6" s="139"/>
      <c r="RA6" s="139"/>
      <c r="RB6" s="139"/>
      <c r="RC6" s="139"/>
      <c r="RD6" s="139"/>
      <c r="RE6" s="139"/>
      <c r="RF6" s="139"/>
      <c r="RG6" s="139"/>
      <c r="RH6" s="139"/>
      <c r="RI6" s="139"/>
      <c r="RJ6" s="139"/>
      <c r="RK6" s="139"/>
      <c r="RL6" s="139"/>
      <c r="RM6" s="139"/>
      <c r="RN6" s="139"/>
      <c r="RO6" s="139"/>
      <c r="RP6" s="139"/>
      <c r="RQ6" s="139"/>
      <c r="RR6" s="139"/>
      <c r="RS6" s="139"/>
      <c r="RT6" s="139"/>
      <c r="RU6" s="139"/>
      <c r="RV6" s="139"/>
      <c r="RW6" s="139"/>
      <c r="RX6" s="139"/>
      <c r="RY6" s="139"/>
      <c r="RZ6" s="139"/>
      <c r="SA6" s="139"/>
      <c r="SB6" s="139"/>
      <c r="SC6" s="139"/>
      <c r="SD6" s="139"/>
      <c r="SE6" s="139"/>
      <c r="SF6" s="139"/>
      <c r="SG6" s="139"/>
      <c r="SH6" s="139"/>
      <c r="SI6" s="139"/>
      <c r="SJ6" s="139"/>
      <c r="SK6" s="139"/>
      <c r="SL6" s="139"/>
      <c r="SM6" s="139"/>
      <c r="SN6" s="139"/>
      <c r="SO6" s="139"/>
      <c r="SP6" s="139"/>
      <c r="SQ6" s="139"/>
      <c r="SR6" s="139"/>
      <c r="SS6" s="139"/>
      <c r="ST6" s="139"/>
      <c r="SU6" s="139"/>
      <c r="SV6" s="139"/>
      <c r="SW6" s="139"/>
      <c r="SX6" s="139"/>
      <c r="SY6" s="139"/>
      <c r="SZ6" s="139"/>
      <c r="TA6" s="139"/>
      <c r="TB6" s="139"/>
      <c r="TC6" s="139"/>
      <c r="TD6" s="139"/>
      <c r="TE6" s="139"/>
      <c r="TF6" s="139"/>
      <c r="TG6" s="139"/>
      <c r="TH6" s="139"/>
      <c r="TI6" s="139"/>
      <c r="TJ6" s="139"/>
      <c r="TK6" s="139"/>
      <c r="TL6" s="139"/>
      <c r="TM6" s="139"/>
      <c r="TN6" s="139"/>
      <c r="TO6" s="139"/>
      <c r="TP6" s="139"/>
      <c r="TQ6" s="139"/>
      <c r="TR6" s="139"/>
      <c r="TS6" s="139"/>
      <c r="TT6" s="139"/>
      <c r="TU6" s="139"/>
      <c r="TV6" s="139"/>
      <c r="TW6" s="139"/>
      <c r="TX6" s="139"/>
      <c r="TY6" s="139"/>
      <c r="TZ6" s="139"/>
      <c r="UA6" s="139"/>
      <c r="UB6" s="139"/>
      <c r="UC6" s="139"/>
      <c r="UD6" s="139"/>
      <c r="UE6" s="139"/>
      <c r="UF6" s="139"/>
      <c r="UG6" s="139"/>
      <c r="UH6" s="139"/>
      <c r="UI6" s="139"/>
      <c r="UJ6" s="139"/>
      <c r="UK6" s="139"/>
      <c r="UL6" s="139"/>
      <c r="UM6" s="139"/>
      <c r="UN6" s="139"/>
      <c r="UO6" s="139"/>
      <c r="UP6" s="139"/>
      <c r="UQ6" s="139"/>
      <c r="UR6" s="139"/>
      <c r="US6" s="139"/>
      <c r="UT6" s="139"/>
      <c r="UU6" s="139"/>
      <c r="UV6" s="139"/>
      <c r="UW6" s="139"/>
      <c r="UX6" s="139"/>
      <c r="UY6" s="139"/>
      <c r="UZ6" s="139"/>
      <c r="VA6" s="139"/>
      <c r="VB6" s="139"/>
      <c r="VC6" s="139"/>
      <c r="VD6" s="139"/>
      <c r="VE6" s="139"/>
      <c r="VF6" s="139"/>
      <c r="VG6" s="139"/>
      <c r="VH6" s="139"/>
      <c r="VI6" s="139"/>
      <c r="VJ6" s="139"/>
      <c r="VK6" s="139"/>
      <c r="VL6" s="139"/>
      <c r="VM6" s="139"/>
      <c r="VN6" s="139"/>
      <c r="VO6" s="139"/>
      <c r="VP6" s="139"/>
      <c r="VQ6" s="139"/>
      <c r="VR6" s="139"/>
      <c r="VS6" s="139"/>
      <c r="VT6" s="139"/>
      <c r="VU6" s="139"/>
      <c r="VV6" s="139"/>
      <c r="VW6" s="139"/>
      <c r="VX6" s="139"/>
      <c r="VY6" s="139"/>
      <c r="VZ6" s="139"/>
      <c r="WA6" s="139"/>
      <c r="WB6" s="139"/>
      <c r="WC6" s="139"/>
      <c r="WD6" s="139"/>
      <c r="WE6" s="139"/>
      <c r="WF6" s="139"/>
      <c r="WG6" s="139"/>
      <c r="WH6" s="139"/>
      <c r="WI6" s="139"/>
      <c r="WJ6" s="139"/>
      <c r="WK6" s="139"/>
      <c r="WL6" s="139"/>
      <c r="WM6" s="139"/>
      <c r="WN6" s="139"/>
      <c r="WO6" s="139"/>
      <c r="WP6" s="139"/>
      <c r="WQ6" s="139"/>
      <c r="WR6" s="139"/>
      <c r="WS6" s="139"/>
      <c r="WT6" s="139"/>
      <c r="WU6" s="139"/>
      <c r="WV6" s="139"/>
      <c r="WW6" s="139"/>
      <c r="WX6" s="139"/>
      <c r="WY6" s="139"/>
      <c r="WZ6" s="139"/>
      <c r="XA6" s="139"/>
      <c r="XB6" s="139"/>
      <c r="XC6" s="139"/>
      <c r="XD6" s="139"/>
      <c r="XE6" s="139"/>
      <c r="XF6" s="139"/>
      <c r="XG6" s="139"/>
      <c r="XH6" s="139"/>
      <c r="XI6" s="139"/>
      <c r="XJ6" s="139"/>
      <c r="XK6" s="139"/>
      <c r="XL6" s="139"/>
      <c r="XM6" s="139"/>
      <c r="XN6" s="139"/>
      <c r="XO6" s="139"/>
      <c r="XP6" s="139"/>
      <c r="XQ6" s="139"/>
      <c r="XR6" s="139"/>
      <c r="XS6" s="139"/>
      <c r="XT6" s="139"/>
      <c r="XU6" s="139"/>
      <c r="XV6" s="139"/>
      <c r="XW6" s="139"/>
      <c r="XX6" s="139"/>
      <c r="XY6" s="139"/>
      <c r="XZ6" s="139"/>
      <c r="YA6" s="139"/>
      <c r="YB6" s="139"/>
      <c r="YC6" s="139"/>
      <c r="YD6" s="139"/>
      <c r="YE6" s="139"/>
      <c r="YF6" s="139"/>
      <c r="YG6" s="139"/>
      <c r="YH6" s="139"/>
      <c r="YI6" s="139"/>
      <c r="YJ6" s="139"/>
      <c r="YK6" s="139"/>
      <c r="YL6" s="139"/>
      <c r="YM6" s="139"/>
      <c r="YN6" s="139"/>
      <c r="YO6" s="139"/>
      <c r="YP6" s="139"/>
      <c r="YQ6" s="139"/>
      <c r="YR6" s="139"/>
      <c r="YS6" s="139"/>
      <c r="YT6" s="139"/>
      <c r="YU6" s="139"/>
      <c r="YV6" s="139"/>
      <c r="YW6" s="139"/>
      <c r="YX6" s="139"/>
      <c r="YY6" s="139"/>
      <c r="YZ6" s="139"/>
      <c r="ZA6" s="139"/>
      <c r="ZB6" s="139"/>
      <c r="ZC6" s="139"/>
      <c r="ZD6" s="139"/>
      <c r="ZE6" s="139"/>
      <c r="ZF6" s="139"/>
      <c r="ZG6" s="139"/>
      <c r="ZH6" s="139"/>
      <c r="ZI6" s="139"/>
      <c r="ZJ6" s="139"/>
      <c r="ZK6" s="139"/>
      <c r="ZL6" s="139"/>
      <c r="ZM6" s="139"/>
      <c r="ZN6" s="139"/>
      <c r="ZO6" s="139"/>
      <c r="ZP6" s="139"/>
      <c r="ZQ6" s="139"/>
      <c r="ZR6" s="139"/>
      <c r="ZS6" s="139"/>
      <c r="ZT6" s="139"/>
      <c r="ZU6" s="139"/>
      <c r="ZV6" s="139"/>
      <c r="ZW6" s="139"/>
      <c r="ZX6" s="139"/>
      <c r="ZY6" s="139"/>
      <c r="ZZ6" s="139"/>
      <c r="AAA6" s="139"/>
      <c r="AAB6" s="139"/>
      <c r="AAC6" s="139"/>
      <c r="AAD6" s="139"/>
      <c r="AAE6" s="139"/>
      <c r="AAF6" s="139"/>
      <c r="AAG6" s="139"/>
      <c r="AAH6" s="139"/>
      <c r="AAI6" s="139"/>
      <c r="AAJ6" s="139"/>
      <c r="AAK6" s="139"/>
      <c r="AAL6" s="139"/>
      <c r="AAM6" s="139"/>
      <c r="AAN6" s="139"/>
      <c r="AAO6" s="139"/>
      <c r="AAP6" s="139"/>
      <c r="AAQ6" s="139"/>
      <c r="AAR6" s="139"/>
      <c r="AAS6" s="139"/>
      <c r="AAT6" s="139"/>
      <c r="AAU6" s="139"/>
      <c r="AAV6" s="139"/>
      <c r="AAW6" s="139"/>
      <c r="AAX6" s="139"/>
      <c r="AAY6" s="139"/>
      <c r="AAZ6" s="139"/>
      <c r="ABA6" s="139"/>
      <c r="ABB6" s="139"/>
      <c r="ABC6" s="139"/>
      <c r="ABD6" s="139"/>
      <c r="ABE6" s="139"/>
      <c r="ABF6" s="139"/>
      <c r="ABG6" s="139"/>
      <c r="ABH6" s="139"/>
      <c r="ABI6" s="139"/>
      <c r="ABJ6" s="139"/>
      <c r="ABK6" s="139"/>
      <c r="ABL6" s="139"/>
      <c r="ABM6" s="139"/>
      <c r="ABN6" s="139"/>
      <c r="ABO6" s="139"/>
      <c r="ABP6" s="139"/>
      <c r="ABQ6" s="139"/>
      <c r="ABR6" s="139"/>
      <c r="ABS6" s="139"/>
      <c r="ABT6" s="139"/>
      <c r="ABU6" s="139"/>
      <c r="ABV6" s="139"/>
      <c r="ABW6" s="139"/>
      <c r="ABX6" s="139"/>
      <c r="ABY6" s="139"/>
      <c r="ABZ6" s="139"/>
      <c r="ACA6" s="139"/>
      <c r="ACB6" s="139"/>
      <c r="ACC6" s="139"/>
      <c r="ACD6" s="139"/>
      <c r="ACE6" s="139"/>
      <c r="ACF6" s="139"/>
      <c r="ACG6" s="139"/>
      <c r="ACH6" s="139"/>
      <c r="ACI6" s="139"/>
      <c r="ACJ6" s="139"/>
      <c r="ACK6" s="139"/>
      <c r="ACL6" s="139"/>
      <c r="ACM6" s="139"/>
      <c r="ACN6" s="139"/>
      <c r="ACO6" s="139"/>
      <c r="ACP6" s="139"/>
      <c r="ACQ6" s="139"/>
      <c r="ACR6" s="139"/>
      <c r="ACS6" s="139"/>
      <c r="ACT6" s="139"/>
      <c r="ACU6" s="139"/>
      <c r="ACV6" s="139"/>
      <c r="ACW6" s="139"/>
      <c r="ACX6" s="139"/>
      <c r="ACY6" s="139"/>
      <c r="ACZ6" s="139"/>
      <c r="ADA6" s="139"/>
      <c r="ADB6" s="139"/>
      <c r="ADC6" s="139"/>
      <c r="ADD6" s="139"/>
      <c r="ADE6" s="139"/>
      <c r="ADF6" s="139"/>
      <c r="ADG6" s="139"/>
      <c r="ADH6" s="139"/>
      <c r="ADI6" s="139"/>
      <c r="ADJ6" s="139"/>
      <c r="ADK6" s="139"/>
      <c r="ADL6" s="139"/>
      <c r="ADM6" s="139"/>
      <c r="ADN6" s="139"/>
      <c r="ADO6" s="139"/>
      <c r="ADP6" s="139"/>
      <c r="ADQ6" s="139"/>
      <c r="ADR6" s="139"/>
      <c r="ADS6" s="139"/>
      <c r="ADT6" s="139"/>
      <c r="ADU6" s="139"/>
      <c r="ADV6" s="139"/>
      <c r="ADW6" s="139"/>
      <c r="ADX6" s="139"/>
      <c r="ADY6" s="139"/>
      <c r="ADZ6" s="139"/>
      <c r="AEA6" s="139"/>
      <c r="AEB6" s="139"/>
      <c r="AEC6" s="139"/>
      <c r="AED6" s="139"/>
      <c r="AEE6" s="139"/>
      <c r="AEF6" s="139"/>
      <c r="AEG6" s="139"/>
      <c r="AEH6" s="139"/>
      <c r="AEI6" s="139"/>
      <c r="AEJ6" s="139"/>
      <c r="AEK6" s="139"/>
      <c r="AEL6" s="139"/>
      <c r="AEM6" s="139"/>
      <c r="AEN6" s="139"/>
      <c r="AEO6" s="139"/>
      <c r="AEP6" s="139"/>
      <c r="AEQ6" s="139"/>
      <c r="AER6" s="139"/>
      <c r="AES6" s="139"/>
      <c r="AET6" s="139"/>
      <c r="AEU6" s="139"/>
      <c r="AEV6" s="139"/>
      <c r="AEW6" s="139"/>
      <c r="AEX6" s="139"/>
      <c r="AEY6" s="139"/>
      <c r="AEZ6" s="139"/>
      <c r="AFA6" s="139"/>
      <c r="AFB6" s="139"/>
      <c r="AFC6" s="139"/>
      <c r="AFD6" s="139"/>
      <c r="AFE6" s="139"/>
      <c r="AFF6" s="139"/>
      <c r="AFG6" s="139"/>
      <c r="AFH6" s="139"/>
      <c r="AFI6" s="139"/>
      <c r="AFJ6" s="139"/>
      <c r="AFK6" s="139"/>
      <c r="AFL6" s="139"/>
      <c r="AFM6" s="139"/>
      <c r="AFN6" s="139"/>
      <c r="AFO6" s="139"/>
      <c r="AFP6" s="139"/>
      <c r="AFQ6" s="139"/>
      <c r="AFR6" s="139"/>
      <c r="AFS6" s="139"/>
      <c r="AFT6" s="139"/>
      <c r="AFU6" s="139"/>
      <c r="AFV6" s="139"/>
      <c r="AFW6" s="139"/>
      <c r="AFX6" s="139"/>
      <c r="AFY6" s="139"/>
      <c r="AFZ6" s="139"/>
      <c r="AGA6" s="139"/>
      <c r="AGB6" s="139"/>
      <c r="AGC6" s="139"/>
      <c r="AGD6" s="139"/>
      <c r="AGE6" s="139"/>
      <c r="AGF6" s="139"/>
      <c r="AGG6" s="139"/>
      <c r="AGH6" s="139"/>
      <c r="AGI6" s="139"/>
      <c r="AGJ6" s="139"/>
      <c r="AGK6" s="139"/>
      <c r="AGL6" s="139"/>
      <c r="AGM6" s="139"/>
      <c r="AGN6" s="139"/>
      <c r="AGO6" s="139"/>
      <c r="AGP6" s="139"/>
      <c r="AGQ6" s="139"/>
      <c r="AGR6" s="139"/>
      <c r="AGS6" s="139"/>
      <c r="AGT6" s="139"/>
      <c r="AGU6" s="139"/>
      <c r="AGV6" s="139"/>
      <c r="AGW6" s="139"/>
      <c r="AGX6" s="139"/>
      <c r="AGY6" s="139"/>
      <c r="AGZ6" s="139"/>
      <c r="AHA6" s="139"/>
      <c r="AHB6" s="139"/>
      <c r="AHC6" s="139"/>
      <c r="AHD6" s="139"/>
      <c r="AHE6" s="139"/>
      <c r="AHF6" s="139"/>
      <c r="AHG6" s="139"/>
      <c r="AHH6" s="139"/>
      <c r="AHI6" s="139"/>
      <c r="AHJ6" s="139"/>
      <c r="AHK6" s="139"/>
      <c r="AHL6" s="139"/>
      <c r="AHM6" s="139"/>
      <c r="AHN6" s="139"/>
      <c r="AHO6" s="139"/>
      <c r="AHP6" s="139"/>
      <c r="AHQ6" s="139"/>
      <c r="AHR6" s="139"/>
      <c r="AHS6" s="139"/>
      <c r="AHT6" s="139"/>
      <c r="AHU6" s="139"/>
      <c r="AHV6" s="139"/>
      <c r="AHW6" s="139"/>
      <c r="AHX6" s="139"/>
      <c r="AHY6" s="139"/>
      <c r="AHZ6" s="139"/>
      <c r="AIA6" s="139"/>
      <c r="AIB6" s="139"/>
      <c r="AIC6" s="139"/>
      <c r="AID6" s="139"/>
      <c r="AIE6" s="139"/>
      <c r="AIF6" s="139"/>
      <c r="AIG6" s="139"/>
      <c r="AIH6" s="139"/>
      <c r="AII6" s="139"/>
      <c r="AIJ6" s="139"/>
      <c r="AIK6" s="139"/>
      <c r="AIL6" s="139"/>
      <c r="AIM6" s="139"/>
      <c r="AIN6" s="139"/>
      <c r="AIO6" s="139"/>
      <c r="AIP6" s="139"/>
      <c r="AIQ6" s="139"/>
      <c r="AIR6" s="139"/>
      <c r="AIS6" s="139"/>
      <c r="AIT6" s="139"/>
      <c r="AIU6" s="139"/>
      <c r="AIV6" s="139"/>
      <c r="AIW6" s="139"/>
      <c r="AIX6" s="139"/>
      <c r="AIY6" s="139"/>
      <c r="AIZ6" s="139"/>
      <c r="AJA6" s="139"/>
      <c r="AJB6" s="139"/>
      <c r="AJC6" s="139"/>
      <c r="AJD6" s="139"/>
      <c r="AJE6" s="139"/>
      <c r="AJF6" s="139"/>
      <c r="AJG6" s="139"/>
      <c r="AJH6" s="139"/>
      <c r="AJI6" s="139"/>
      <c r="AJJ6" s="139"/>
      <c r="AJK6" s="139"/>
      <c r="AJL6" s="139"/>
      <c r="AJM6" s="139"/>
      <c r="AJN6" s="139"/>
      <c r="AJO6" s="139"/>
      <c r="AJP6" s="139"/>
      <c r="AJQ6" s="139"/>
      <c r="AJR6" s="139"/>
      <c r="AJS6" s="139"/>
      <c r="AJT6" s="139"/>
      <c r="AJU6" s="139"/>
      <c r="AJV6" s="139"/>
      <c r="AJW6" s="139"/>
      <c r="AJX6" s="139"/>
      <c r="AJY6" s="139"/>
      <c r="AJZ6" s="139"/>
      <c r="AKA6" s="139"/>
      <c r="AKB6" s="139"/>
      <c r="AKC6" s="139"/>
      <c r="AKD6" s="139"/>
      <c r="AKE6" s="139"/>
      <c r="AKF6" s="139"/>
      <c r="AKG6" s="139"/>
      <c r="AKH6" s="139"/>
      <c r="AKI6" s="139"/>
      <c r="AKJ6" s="139"/>
      <c r="AKK6" s="139"/>
      <c r="AKL6" s="139"/>
      <c r="AKM6" s="139"/>
      <c r="AKN6" s="139"/>
      <c r="AKO6" s="139"/>
      <c r="AKP6" s="139"/>
      <c r="AKQ6" s="139"/>
      <c r="AKR6" s="139"/>
      <c r="AKS6" s="139"/>
      <c r="AKT6" s="139"/>
      <c r="AKU6" s="139"/>
      <c r="AKV6" s="139"/>
      <c r="AKW6" s="139"/>
      <c r="AKX6" s="139"/>
      <c r="AKY6" s="139"/>
      <c r="AKZ6" s="139"/>
      <c r="ALA6" s="139"/>
      <c r="ALB6" s="139"/>
      <c r="ALC6" s="139"/>
      <c r="ALD6" s="139"/>
      <c r="ALE6" s="139"/>
      <c r="ALF6" s="139"/>
      <c r="ALG6" s="139"/>
      <c r="ALH6" s="139"/>
      <c r="ALI6" s="139"/>
      <c r="ALJ6" s="139"/>
      <c r="ALK6" s="139"/>
      <c r="ALL6" s="139"/>
      <c r="ALM6" s="139"/>
      <c r="ALN6" s="139"/>
      <c r="ALO6" s="139"/>
      <c r="ALP6" s="139"/>
      <c r="ALQ6" s="139"/>
      <c r="ALR6" s="139"/>
      <c r="ALS6" s="139"/>
      <c r="ALT6" s="139"/>
      <c r="ALU6" s="139"/>
      <c r="ALV6" s="139"/>
      <c r="ALW6" s="139"/>
      <c r="ALX6" s="139"/>
      <c r="ALY6" s="139"/>
      <c r="ALZ6" s="139"/>
      <c r="AMA6" s="139"/>
      <c r="AMB6" s="139"/>
      <c r="AMC6" s="139"/>
      <c r="AMD6" s="139"/>
      <c r="AME6" s="139"/>
      <c r="AMF6" s="139"/>
    </row>
    <row r="7" spans="1:1024" s="140" customFormat="1" ht="60" x14ac:dyDescent="0.25">
      <c r="A7" s="146" t="s">
        <v>4</v>
      </c>
      <c r="B7" s="150" t="s">
        <v>35</v>
      </c>
      <c r="C7" s="187" t="s">
        <v>36</v>
      </c>
      <c r="D7" s="187" t="s">
        <v>37</v>
      </c>
      <c r="E7" s="187" t="s">
        <v>38</v>
      </c>
      <c r="F7" s="187" t="s">
        <v>39</v>
      </c>
      <c r="G7" s="187" t="s">
        <v>40</v>
      </c>
      <c r="H7" s="187" t="s">
        <v>41</v>
      </c>
      <c r="I7" s="187" t="s">
        <v>42</v>
      </c>
      <c r="J7" s="187" t="s">
        <v>43</v>
      </c>
      <c r="K7" s="188" t="s">
        <v>61</v>
      </c>
      <c r="L7" s="14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  <c r="DK7" s="139"/>
      <c r="DL7" s="139"/>
      <c r="DM7" s="139"/>
      <c r="DN7" s="139"/>
      <c r="DO7" s="139"/>
      <c r="DP7" s="139"/>
      <c r="DQ7" s="139"/>
      <c r="DR7" s="139"/>
      <c r="DS7" s="139"/>
      <c r="DT7" s="139"/>
      <c r="DU7" s="139"/>
      <c r="DV7" s="139"/>
      <c r="DW7" s="139"/>
      <c r="DX7" s="139"/>
      <c r="DY7" s="139"/>
      <c r="DZ7" s="139"/>
      <c r="EA7" s="139"/>
      <c r="EB7" s="139"/>
      <c r="EC7" s="139"/>
      <c r="ED7" s="139"/>
      <c r="EE7" s="139"/>
      <c r="EF7" s="139"/>
      <c r="EG7" s="139"/>
      <c r="EH7" s="139"/>
      <c r="EI7" s="139"/>
      <c r="EJ7" s="139"/>
      <c r="EK7" s="139"/>
      <c r="EL7" s="139"/>
      <c r="EM7" s="139"/>
      <c r="EN7" s="139"/>
      <c r="EO7" s="139"/>
      <c r="EP7" s="139"/>
      <c r="EQ7" s="139"/>
      <c r="ER7" s="139"/>
      <c r="ES7" s="139"/>
      <c r="ET7" s="139"/>
      <c r="EU7" s="139"/>
      <c r="EV7" s="139"/>
      <c r="EW7" s="139"/>
      <c r="EX7" s="139"/>
      <c r="EY7" s="139"/>
      <c r="EZ7" s="139"/>
      <c r="FA7" s="139"/>
      <c r="FB7" s="139"/>
      <c r="FC7" s="139"/>
      <c r="FD7" s="139"/>
      <c r="FE7" s="139"/>
      <c r="FF7" s="139"/>
      <c r="FG7" s="139"/>
      <c r="FH7" s="139"/>
      <c r="FI7" s="139"/>
      <c r="FJ7" s="139"/>
      <c r="FK7" s="139"/>
      <c r="FL7" s="139"/>
      <c r="FM7" s="139"/>
      <c r="FN7" s="139"/>
      <c r="FO7" s="139"/>
      <c r="FP7" s="139"/>
      <c r="FQ7" s="139"/>
      <c r="FR7" s="139"/>
      <c r="FS7" s="139"/>
      <c r="FT7" s="139"/>
      <c r="FU7" s="139"/>
      <c r="FV7" s="139"/>
      <c r="FW7" s="139"/>
      <c r="FX7" s="139"/>
      <c r="FY7" s="139"/>
      <c r="FZ7" s="139"/>
      <c r="GA7" s="139"/>
      <c r="GB7" s="139"/>
      <c r="GC7" s="139"/>
      <c r="GD7" s="139"/>
      <c r="GE7" s="139"/>
      <c r="GF7" s="139"/>
      <c r="GG7" s="139"/>
      <c r="GH7" s="139"/>
      <c r="GI7" s="139"/>
      <c r="GJ7" s="139"/>
      <c r="GK7" s="139"/>
      <c r="GL7" s="139"/>
      <c r="GM7" s="139"/>
      <c r="GN7" s="139"/>
      <c r="GO7" s="139"/>
      <c r="GP7" s="139"/>
      <c r="GQ7" s="139"/>
      <c r="GR7" s="139"/>
      <c r="GS7" s="139"/>
      <c r="GT7" s="139"/>
      <c r="GU7" s="139"/>
      <c r="GV7" s="139"/>
      <c r="GW7" s="139"/>
      <c r="GX7" s="139"/>
      <c r="GY7" s="139"/>
      <c r="GZ7" s="139"/>
      <c r="HA7" s="139"/>
      <c r="HB7" s="139"/>
      <c r="HC7" s="139"/>
      <c r="HD7" s="139"/>
      <c r="HE7" s="139"/>
      <c r="HF7" s="139"/>
      <c r="HG7" s="139"/>
      <c r="HH7" s="139"/>
      <c r="HI7" s="139"/>
      <c r="HJ7" s="139"/>
      <c r="HK7" s="139"/>
      <c r="HL7" s="139"/>
      <c r="HM7" s="139"/>
      <c r="HN7" s="139"/>
      <c r="HO7" s="139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  <c r="IJ7" s="139"/>
      <c r="IK7" s="139"/>
      <c r="IL7" s="139"/>
      <c r="IM7" s="139"/>
      <c r="IN7" s="139"/>
      <c r="IO7" s="139"/>
      <c r="IP7" s="139"/>
      <c r="IQ7" s="139"/>
      <c r="IR7" s="139"/>
      <c r="IS7" s="139"/>
      <c r="IT7" s="139"/>
      <c r="IU7" s="139"/>
      <c r="IV7" s="139"/>
      <c r="IW7" s="139"/>
      <c r="IX7" s="139"/>
      <c r="IY7" s="139"/>
      <c r="IZ7" s="139"/>
      <c r="JA7" s="139"/>
      <c r="JB7" s="139"/>
      <c r="JC7" s="139"/>
      <c r="JD7" s="139"/>
      <c r="JE7" s="139"/>
      <c r="JF7" s="139"/>
      <c r="JG7" s="139"/>
      <c r="JH7" s="139"/>
      <c r="JI7" s="139"/>
      <c r="JJ7" s="139"/>
      <c r="JK7" s="139"/>
      <c r="JL7" s="139"/>
      <c r="JM7" s="139"/>
      <c r="JN7" s="139"/>
      <c r="JO7" s="139"/>
      <c r="JP7" s="139"/>
      <c r="JQ7" s="139"/>
      <c r="JR7" s="139"/>
      <c r="JS7" s="139"/>
      <c r="JT7" s="139"/>
      <c r="JU7" s="139"/>
      <c r="JV7" s="139"/>
      <c r="JW7" s="139"/>
      <c r="JX7" s="139"/>
      <c r="JY7" s="139"/>
      <c r="JZ7" s="139"/>
      <c r="KA7" s="139"/>
      <c r="KB7" s="139"/>
      <c r="KC7" s="139"/>
      <c r="KD7" s="139"/>
      <c r="KE7" s="139"/>
      <c r="KF7" s="139"/>
      <c r="KG7" s="139"/>
      <c r="KH7" s="139"/>
      <c r="KI7" s="139"/>
      <c r="KJ7" s="139"/>
      <c r="KK7" s="139"/>
      <c r="KL7" s="139"/>
      <c r="KM7" s="139"/>
      <c r="KN7" s="139"/>
      <c r="KO7" s="139"/>
      <c r="KP7" s="139"/>
      <c r="KQ7" s="139"/>
      <c r="KR7" s="139"/>
      <c r="KS7" s="139"/>
      <c r="KT7" s="139"/>
      <c r="KU7" s="139"/>
      <c r="KV7" s="139"/>
      <c r="KW7" s="139"/>
      <c r="KX7" s="139"/>
      <c r="KY7" s="139"/>
      <c r="KZ7" s="139"/>
      <c r="LA7" s="139"/>
      <c r="LB7" s="139"/>
      <c r="LC7" s="139"/>
      <c r="LD7" s="139"/>
      <c r="LE7" s="139"/>
      <c r="LF7" s="139"/>
      <c r="LG7" s="139"/>
      <c r="LH7" s="139"/>
      <c r="LI7" s="139"/>
      <c r="LJ7" s="139"/>
      <c r="LK7" s="139"/>
      <c r="LL7" s="139"/>
      <c r="LM7" s="139"/>
      <c r="LN7" s="139"/>
      <c r="LO7" s="139"/>
      <c r="LP7" s="139"/>
      <c r="LQ7" s="139"/>
      <c r="LR7" s="139"/>
      <c r="LS7" s="139"/>
      <c r="LT7" s="139"/>
      <c r="LU7" s="139"/>
      <c r="LV7" s="139"/>
      <c r="LW7" s="139"/>
      <c r="LX7" s="139"/>
      <c r="LY7" s="139"/>
      <c r="LZ7" s="139"/>
      <c r="MA7" s="139"/>
      <c r="MB7" s="139"/>
      <c r="MC7" s="139"/>
      <c r="MD7" s="139"/>
      <c r="ME7" s="139"/>
      <c r="MF7" s="139"/>
      <c r="MG7" s="139"/>
      <c r="MH7" s="139"/>
      <c r="MI7" s="139"/>
      <c r="MJ7" s="139"/>
      <c r="MK7" s="139"/>
      <c r="ML7" s="139"/>
      <c r="MM7" s="139"/>
      <c r="MN7" s="139"/>
      <c r="MO7" s="139"/>
      <c r="MP7" s="139"/>
      <c r="MQ7" s="139"/>
      <c r="MR7" s="139"/>
      <c r="MS7" s="139"/>
      <c r="MT7" s="139"/>
      <c r="MU7" s="139"/>
      <c r="MV7" s="139"/>
      <c r="MW7" s="139"/>
      <c r="MX7" s="139"/>
      <c r="MY7" s="139"/>
      <c r="MZ7" s="139"/>
      <c r="NA7" s="139"/>
      <c r="NB7" s="139"/>
      <c r="NC7" s="139"/>
      <c r="ND7" s="139"/>
      <c r="NE7" s="139"/>
      <c r="NF7" s="139"/>
      <c r="NG7" s="139"/>
      <c r="NH7" s="139"/>
      <c r="NI7" s="139"/>
      <c r="NJ7" s="139"/>
      <c r="NK7" s="139"/>
      <c r="NL7" s="139"/>
      <c r="NM7" s="139"/>
      <c r="NN7" s="139"/>
      <c r="NO7" s="139"/>
      <c r="NP7" s="139"/>
      <c r="NQ7" s="139"/>
      <c r="NR7" s="139"/>
      <c r="NS7" s="139"/>
      <c r="NT7" s="139"/>
      <c r="NU7" s="139"/>
      <c r="NV7" s="139"/>
      <c r="NW7" s="139"/>
      <c r="NX7" s="139"/>
      <c r="NY7" s="139"/>
      <c r="NZ7" s="139"/>
      <c r="OA7" s="139"/>
      <c r="OB7" s="139"/>
      <c r="OC7" s="139"/>
      <c r="OD7" s="139"/>
      <c r="OE7" s="139"/>
      <c r="OF7" s="139"/>
      <c r="OG7" s="139"/>
      <c r="OH7" s="139"/>
      <c r="OI7" s="139"/>
      <c r="OJ7" s="139"/>
      <c r="OK7" s="139"/>
      <c r="OL7" s="139"/>
      <c r="OM7" s="139"/>
      <c r="ON7" s="139"/>
      <c r="OO7" s="139"/>
      <c r="OP7" s="139"/>
      <c r="OQ7" s="139"/>
      <c r="OR7" s="139"/>
      <c r="OS7" s="139"/>
      <c r="OT7" s="139"/>
      <c r="OU7" s="139"/>
      <c r="OV7" s="139"/>
      <c r="OW7" s="139"/>
      <c r="OX7" s="139"/>
      <c r="OY7" s="139"/>
      <c r="OZ7" s="139"/>
      <c r="PA7" s="139"/>
      <c r="PB7" s="139"/>
      <c r="PC7" s="139"/>
      <c r="PD7" s="139"/>
      <c r="PE7" s="139"/>
      <c r="PF7" s="139"/>
      <c r="PG7" s="139"/>
      <c r="PH7" s="139"/>
      <c r="PI7" s="139"/>
      <c r="PJ7" s="139"/>
      <c r="PK7" s="139"/>
      <c r="PL7" s="139"/>
      <c r="PM7" s="139"/>
      <c r="PN7" s="139"/>
      <c r="PO7" s="139"/>
      <c r="PP7" s="139"/>
      <c r="PQ7" s="139"/>
      <c r="PR7" s="139"/>
      <c r="PS7" s="139"/>
      <c r="PT7" s="139"/>
      <c r="PU7" s="139"/>
      <c r="PV7" s="139"/>
      <c r="PW7" s="139"/>
      <c r="PX7" s="139"/>
      <c r="PY7" s="139"/>
      <c r="PZ7" s="139"/>
      <c r="QA7" s="139"/>
      <c r="QB7" s="139"/>
      <c r="QC7" s="139"/>
      <c r="QD7" s="139"/>
      <c r="QE7" s="139"/>
      <c r="QF7" s="139"/>
      <c r="QG7" s="139"/>
      <c r="QH7" s="139"/>
      <c r="QI7" s="139"/>
      <c r="QJ7" s="139"/>
      <c r="QK7" s="139"/>
      <c r="QL7" s="139"/>
      <c r="QM7" s="139"/>
      <c r="QN7" s="139"/>
      <c r="QO7" s="139"/>
      <c r="QP7" s="139"/>
      <c r="QQ7" s="139"/>
      <c r="QR7" s="139"/>
      <c r="QS7" s="139"/>
      <c r="QT7" s="139"/>
      <c r="QU7" s="139"/>
      <c r="QV7" s="139"/>
      <c r="QW7" s="139"/>
      <c r="QX7" s="139"/>
      <c r="QY7" s="139"/>
      <c r="QZ7" s="139"/>
      <c r="RA7" s="139"/>
      <c r="RB7" s="139"/>
      <c r="RC7" s="139"/>
      <c r="RD7" s="139"/>
      <c r="RE7" s="139"/>
      <c r="RF7" s="139"/>
      <c r="RG7" s="139"/>
      <c r="RH7" s="139"/>
      <c r="RI7" s="139"/>
      <c r="RJ7" s="139"/>
      <c r="RK7" s="139"/>
      <c r="RL7" s="139"/>
      <c r="RM7" s="139"/>
      <c r="RN7" s="139"/>
      <c r="RO7" s="139"/>
      <c r="RP7" s="139"/>
      <c r="RQ7" s="139"/>
      <c r="RR7" s="139"/>
      <c r="RS7" s="139"/>
      <c r="RT7" s="139"/>
      <c r="RU7" s="139"/>
      <c r="RV7" s="139"/>
      <c r="RW7" s="139"/>
      <c r="RX7" s="139"/>
      <c r="RY7" s="139"/>
      <c r="RZ7" s="139"/>
      <c r="SA7" s="139"/>
      <c r="SB7" s="139"/>
      <c r="SC7" s="139"/>
      <c r="SD7" s="139"/>
      <c r="SE7" s="139"/>
      <c r="SF7" s="139"/>
      <c r="SG7" s="139"/>
      <c r="SH7" s="139"/>
      <c r="SI7" s="139"/>
      <c r="SJ7" s="139"/>
      <c r="SK7" s="139"/>
      <c r="SL7" s="139"/>
      <c r="SM7" s="139"/>
      <c r="SN7" s="139"/>
      <c r="SO7" s="139"/>
      <c r="SP7" s="139"/>
      <c r="SQ7" s="139"/>
      <c r="SR7" s="139"/>
      <c r="SS7" s="139"/>
      <c r="ST7" s="139"/>
      <c r="SU7" s="139"/>
      <c r="SV7" s="139"/>
      <c r="SW7" s="139"/>
      <c r="SX7" s="139"/>
      <c r="SY7" s="139"/>
      <c r="SZ7" s="139"/>
      <c r="TA7" s="139"/>
      <c r="TB7" s="139"/>
      <c r="TC7" s="139"/>
      <c r="TD7" s="139"/>
      <c r="TE7" s="139"/>
      <c r="TF7" s="139"/>
      <c r="TG7" s="139"/>
      <c r="TH7" s="139"/>
      <c r="TI7" s="139"/>
      <c r="TJ7" s="139"/>
      <c r="TK7" s="139"/>
      <c r="TL7" s="139"/>
      <c r="TM7" s="139"/>
      <c r="TN7" s="139"/>
      <c r="TO7" s="139"/>
      <c r="TP7" s="139"/>
      <c r="TQ7" s="139"/>
      <c r="TR7" s="139"/>
      <c r="TS7" s="139"/>
      <c r="TT7" s="139"/>
      <c r="TU7" s="139"/>
      <c r="TV7" s="139"/>
      <c r="TW7" s="139"/>
      <c r="TX7" s="139"/>
      <c r="TY7" s="139"/>
      <c r="TZ7" s="139"/>
      <c r="UA7" s="139"/>
      <c r="UB7" s="139"/>
      <c r="UC7" s="139"/>
      <c r="UD7" s="139"/>
      <c r="UE7" s="139"/>
      <c r="UF7" s="139"/>
      <c r="UG7" s="139"/>
      <c r="UH7" s="139"/>
      <c r="UI7" s="139"/>
      <c r="UJ7" s="139"/>
      <c r="UK7" s="139"/>
      <c r="UL7" s="139"/>
      <c r="UM7" s="139"/>
      <c r="UN7" s="139"/>
      <c r="UO7" s="139"/>
      <c r="UP7" s="139"/>
      <c r="UQ7" s="139"/>
      <c r="UR7" s="139"/>
      <c r="US7" s="139"/>
      <c r="UT7" s="139"/>
      <c r="UU7" s="139"/>
      <c r="UV7" s="139"/>
      <c r="UW7" s="139"/>
      <c r="UX7" s="139"/>
      <c r="UY7" s="139"/>
      <c r="UZ7" s="139"/>
      <c r="VA7" s="139"/>
      <c r="VB7" s="139"/>
      <c r="VC7" s="139"/>
      <c r="VD7" s="139"/>
      <c r="VE7" s="139"/>
      <c r="VF7" s="139"/>
      <c r="VG7" s="139"/>
      <c r="VH7" s="139"/>
      <c r="VI7" s="139"/>
      <c r="VJ7" s="139"/>
      <c r="VK7" s="139"/>
      <c r="VL7" s="139"/>
      <c r="VM7" s="139"/>
      <c r="VN7" s="139"/>
      <c r="VO7" s="139"/>
      <c r="VP7" s="139"/>
      <c r="VQ7" s="139"/>
      <c r="VR7" s="139"/>
      <c r="VS7" s="139"/>
      <c r="VT7" s="139"/>
      <c r="VU7" s="139"/>
      <c r="VV7" s="139"/>
      <c r="VW7" s="139"/>
      <c r="VX7" s="139"/>
      <c r="VY7" s="139"/>
      <c r="VZ7" s="139"/>
      <c r="WA7" s="139"/>
      <c r="WB7" s="139"/>
      <c r="WC7" s="139"/>
      <c r="WD7" s="139"/>
      <c r="WE7" s="139"/>
      <c r="WF7" s="139"/>
      <c r="WG7" s="139"/>
      <c r="WH7" s="139"/>
      <c r="WI7" s="139"/>
      <c r="WJ7" s="139"/>
      <c r="WK7" s="139"/>
      <c r="WL7" s="139"/>
      <c r="WM7" s="139"/>
      <c r="WN7" s="139"/>
      <c r="WO7" s="139"/>
      <c r="WP7" s="139"/>
      <c r="WQ7" s="139"/>
      <c r="WR7" s="139"/>
      <c r="WS7" s="139"/>
      <c r="WT7" s="139"/>
      <c r="WU7" s="139"/>
      <c r="WV7" s="139"/>
      <c r="WW7" s="139"/>
      <c r="WX7" s="139"/>
      <c r="WY7" s="139"/>
      <c r="WZ7" s="139"/>
      <c r="XA7" s="139"/>
      <c r="XB7" s="139"/>
      <c r="XC7" s="139"/>
      <c r="XD7" s="139"/>
      <c r="XE7" s="139"/>
      <c r="XF7" s="139"/>
      <c r="XG7" s="139"/>
      <c r="XH7" s="139"/>
      <c r="XI7" s="139"/>
      <c r="XJ7" s="139"/>
      <c r="XK7" s="139"/>
      <c r="XL7" s="139"/>
      <c r="XM7" s="139"/>
      <c r="XN7" s="139"/>
      <c r="XO7" s="139"/>
      <c r="XP7" s="139"/>
      <c r="XQ7" s="139"/>
      <c r="XR7" s="139"/>
      <c r="XS7" s="139"/>
      <c r="XT7" s="139"/>
      <c r="XU7" s="139"/>
      <c r="XV7" s="139"/>
      <c r="XW7" s="139"/>
      <c r="XX7" s="139"/>
      <c r="XY7" s="139"/>
      <c r="XZ7" s="139"/>
      <c r="YA7" s="139"/>
      <c r="YB7" s="139"/>
      <c r="YC7" s="139"/>
      <c r="YD7" s="139"/>
      <c r="YE7" s="139"/>
      <c r="YF7" s="139"/>
      <c r="YG7" s="139"/>
      <c r="YH7" s="139"/>
      <c r="YI7" s="139"/>
      <c r="YJ7" s="139"/>
      <c r="YK7" s="139"/>
      <c r="YL7" s="139"/>
      <c r="YM7" s="139"/>
      <c r="YN7" s="139"/>
      <c r="YO7" s="139"/>
      <c r="YP7" s="139"/>
      <c r="YQ7" s="139"/>
      <c r="YR7" s="139"/>
      <c r="YS7" s="139"/>
      <c r="YT7" s="139"/>
      <c r="YU7" s="139"/>
      <c r="YV7" s="139"/>
      <c r="YW7" s="139"/>
      <c r="YX7" s="139"/>
      <c r="YY7" s="139"/>
      <c r="YZ7" s="139"/>
      <c r="ZA7" s="139"/>
      <c r="ZB7" s="139"/>
      <c r="ZC7" s="139"/>
      <c r="ZD7" s="139"/>
      <c r="ZE7" s="139"/>
      <c r="ZF7" s="139"/>
      <c r="ZG7" s="139"/>
      <c r="ZH7" s="139"/>
      <c r="ZI7" s="139"/>
      <c r="ZJ7" s="139"/>
      <c r="ZK7" s="139"/>
      <c r="ZL7" s="139"/>
      <c r="ZM7" s="139"/>
      <c r="ZN7" s="139"/>
      <c r="ZO7" s="139"/>
      <c r="ZP7" s="139"/>
      <c r="ZQ7" s="139"/>
      <c r="ZR7" s="139"/>
      <c r="ZS7" s="139"/>
      <c r="ZT7" s="139"/>
      <c r="ZU7" s="139"/>
      <c r="ZV7" s="139"/>
      <c r="ZW7" s="139"/>
      <c r="ZX7" s="139"/>
      <c r="ZY7" s="139"/>
      <c r="ZZ7" s="139"/>
      <c r="AAA7" s="139"/>
      <c r="AAB7" s="139"/>
      <c r="AAC7" s="139"/>
      <c r="AAD7" s="139"/>
      <c r="AAE7" s="139"/>
      <c r="AAF7" s="139"/>
      <c r="AAG7" s="139"/>
      <c r="AAH7" s="139"/>
      <c r="AAI7" s="139"/>
      <c r="AAJ7" s="139"/>
      <c r="AAK7" s="139"/>
      <c r="AAL7" s="139"/>
      <c r="AAM7" s="139"/>
      <c r="AAN7" s="139"/>
      <c r="AAO7" s="139"/>
      <c r="AAP7" s="139"/>
      <c r="AAQ7" s="139"/>
      <c r="AAR7" s="139"/>
      <c r="AAS7" s="139"/>
      <c r="AAT7" s="139"/>
      <c r="AAU7" s="139"/>
      <c r="AAV7" s="139"/>
      <c r="AAW7" s="139"/>
      <c r="AAX7" s="139"/>
      <c r="AAY7" s="139"/>
      <c r="AAZ7" s="139"/>
      <c r="ABA7" s="139"/>
      <c r="ABB7" s="139"/>
      <c r="ABC7" s="139"/>
      <c r="ABD7" s="139"/>
      <c r="ABE7" s="139"/>
      <c r="ABF7" s="139"/>
      <c r="ABG7" s="139"/>
      <c r="ABH7" s="139"/>
      <c r="ABI7" s="139"/>
      <c r="ABJ7" s="139"/>
      <c r="ABK7" s="139"/>
      <c r="ABL7" s="139"/>
      <c r="ABM7" s="139"/>
      <c r="ABN7" s="139"/>
      <c r="ABO7" s="139"/>
      <c r="ABP7" s="139"/>
      <c r="ABQ7" s="139"/>
      <c r="ABR7" s="139"/>
      <c r="ABS7" s="139"/>
      <c r="ABT7" s="139"/>
      <c r="ABU7" s="139"/>
      <c r="ABV7" s="139"/>
      <c r="ABW7" s="139"/>
      <c r="ABX7" s="139"/>
      <c r="ABY7" s="139"/>
      <c r="ABZ7" s="139"/>
      <c r="ACA7" s="139"/>
      <c r="ACB7" s="139"/>
      <c r="ACC7" s="139"/>
      <c r="ACD7" s="139"/>
      <c r="ACE7" s="139"/>
      <c r="ACF7" s="139"/>
      <c r="ACG7" s="139"/>
      <c r="ACH7" s="139"/>
      <c r="ACI7" s="139"/>
      <c r="ACJ7" s="139"/>
      <c r="ACK7" s="139"/>
      <c r="ACL7" s="139"/>
      <c r="ACM7" s="139"/>
      <c r="ACN7" s="139"/>
      <c r="ACO7" s="139"/>
      <c r="ACP7" s="139"/>
      <c r="ACQ7" s="139"/>
      <c r="ACR7" s="139"/>
      <c r="ACS7" s="139"/>
      <c r="ACT7" s="139"/>
      <c r="ACU7" s="139"/>
      <c r="ACV7" s="139"/>
      <c r="ACW7" s="139"/>
      <c r="ACX7" s="139"/>
      <c r="ACY7" s="139"/>
      <c r="ACZ7" s="139"/>
      <c r="ADA7" s="139"/>
      <c r="ADB7" s="139"/>
      <c r="ADC7" s="139"/>
      <c r="ADD7" s="139"/>
      <c r="ADE7" s="139"/>
      <c r="ADF7" s="139"/>
      <c r="ADG7" s="139"/>
      <c r="ADH7" s="139"/>
      <c r="ADI7" s="139"/>
      <c r="ADJ7" s="139"/>
      <c r="ADK7" s="139"/>
      <c r="ADL7" s="139"/>
      <c r="ADM7" s="139"/>
      <c r="ADN7" s="139"/>
      <c r="ADO7" s="139"/>
      <c r="ADP7" s="139"/>
      <c r="ADQ7" s="139"/>
      <c r="ADR7" s="139"/>
      <c r="ADS7" s="139"/>
      <c r="ADT7" s="139"/>
      <c r="ADU7" s="139"/>
      <c r="ADV7" s="139"/>
      <c r="ADW7" s="139"/>
      <c r="ADX7" s="139"/>
      <c r="ADY7" s="139"/>
      <c r="ADZ7" s="139"/>
      <c r="AEA7" s="139"/>
      <c r="AEB7" s="139"/>
      <c r="AEC7" s="139"/>
      <c r="AED7" s="139"/>
      <c r="AEE7" s="139"/>
      <c r="AEF7" s="139"/>
      <c r="AEG7" s="139"/>
      <c r="AEH7" s="139"/>
      <c r="AEI7" s="139"/>
      <c r="AEJ7" s="139"/>
      <c r="AEK7" s="139"/>
      <c r="AEL7" s="139"/>
      <c r="AEM7" s="139"/>
      <c r="AEN7" s="139"/>
      <c r="AEO7" s="139"/>
      <c r="AEP7" s="139"/>
      <c r="AEQ7" s="139"/>
      <c r="AER7" s="139"/>
      <c r="AES7" s="139"/>
      <c r="AET7" s="139"/>
      <c r="AEU7" s="139"/>
      <c r="AEV7" s="139"/>
      <c r="AEW7" s="139"/>
      <c r="AEX7" s="139"/>
      <c r="AEY7" s="139"/>
      <c r="AEZ7" s="139"/>
      <c r="AFA7" s="139"/>
      <c r="AFB7" s="139"/>
      <c r="AFC7" s="139"/>
      <c r="AFD7" s="139"/>
      <c r="AFE7" s="139"/>
      <c r="AFF7" s="139"/>
      <c r="AFG7" s="139"/>
      <c r="AFH7" s="139"/>
      <c r="AFI7" s="139"/>
      <c r="AFJ7" s="139"/>
      <c r="AFK7" s="139"/>
      <c r="AFL7" s="139"/>
      <c r="AFM7" s="139"/>
      <c r="AFN7" s="139"/>
      <c r="AFO7" s="139"/>
      <c r="AFP7" s="139"/>
      <c r="AFQ7" s="139"/>
      <c r="AFR7" s="139"/>
      <c r="AFS7" s="139"/>
      <c r="AFT7" s="139"/>
      <c r="AFU7" s="139"/>
      <c r="AFV7" s="139"/>
      <c r="AFW7" s="139"/>
      <c r="AFX7" s="139"/>
      <c r="AFY7" s="139"/>
      <c r="AFZ7" s="139"/>
      <c r="AGA7" s="139"/>
      <c r="AGB7" s="139"/>
      <c r="AGC7" s="139"/>
      <c r="AGD7" s="139"/>
      <c r="AGE7" s="139"/>
      <c r="AGF7" s="139"/>
      <c r="AGG7" s="139"/>
      <c r="AGH7" s="139"/>
      <c r="AGI7" s="139"/>
      <c r="AGJ7" s="139"/>
      <c r="AGK7" s="139"/>
      <c r="AGL7" s="139"/>
      <c r="AGM7" s="139"/>
      <c r="AGN7" s="139"/>
      <c r="AGO7" s="139"/>
      <c r="AGP7" s="139"/>
      <c r="AGQ7" s="139"/>
      <c r="AGR7" s="139"/>
      <c r="AGS7" s="139"/>
      <c r="AGT7" s="139"/>
      <c r="AGU7" s="139"/>
      <c r="AGV7" s="139"/>
      <c r="AGW7" s="139"/>
      <c r="AGX7" s="139"/>
      <c r="AGY7" s="139"/>
      <c r="AGZ7" s="139"/>
      <c r="AHA7" s="139"/>
      <c r="AHB7" s="139"/>
      <c r="AHC7" s="139"/>
      <c r="AHD7" s="139"/>
      <c r="AHE7" s="139"/>
      <c r="AHF7" s="139"/>
      <c r="AHG7" s="139"/>
      <c r="AHH7" s="139"/>
      <c r="AHI7" s="139"/>
      <c r="AHJ7" s="139"/>
      <c r="AHK7" s="139"/>
      <c r="AHL7" s="139"/>
      <c r="AHM7" s="139"/>
      <c r="AHN7" s="139"/>
      <c r="AHO7" s="139"/>
      <c r="AHP7" s="139"/>
      <c r="AHQ7" s="139"/>
      <c r="AHR7" s="139"/>
      <c r="AHS7" s="139"/>
      <c r="AHT7" s="139"/>
      <c r="AHU7" s="139"/>
      <c r="AHV7" s="139"/>
      <c r="AHW7" s="139"/>
      <c r="AHX7" s="139"/>
      <c r="AHY7" s="139"/>
      <c r="AHZ7" s="139"/>
      <c r="AIA7" s="139"/>
      <c r="AIB7" s="139"/>
      <c r="AIC7" s="139"/>
      <c r="AID7" s="139"/>
      <c r="AIE7" s="139"/>
      <c r="AIF7" s="139"/>
      <c r="AIG7" s="139"/>
      <c r="AIH7" s="139"/>
      <c r="AII7" s="139"/>
      <c r="AIJ7" s="139"/>
      <c r="AIK7" s="139"/>
      <c r="AIL7" s="139"/>
      <c r="AIM7" s="139"/>
      <c r="AIN7" s="139"/>
      <c r="AIO7" s="139"/>
      <c r="AIP7" s="139"/>
      <c r="AIQ7" s="139"/>
      <c r="AIR7" s="139"/>
      <c r="AIS7" s="139"/>
      <c r="AIT7" s="139"/>
      <c r="AIU7" s="139"/>
      <c r="AIV7" s="139"/>
      <c r="AIW7" s="139"/>
      <c r="AIX7" s="139"/>
      <c r="AIY7" s="139"/>
      <c r="AIZ7" s="139"/>
      <c r="AJA7" s="139"/>
      <c r="AJB7" s="139"/>
      <c r="AJC7" s="139"/>
      <c r="AJD7" s="139"/>
      <c r="AJE7" s="139"/>
      <c r="AJF7" s="139"/>
      <c r="AJG7" s="139"/>
      <c r="AJH7" s="139"/>
      <c r="AJI7" s="139"/>
      <c r="AJJ7" s="139"/>
      <c r="AJK7" s="139"/>
      <c r="AJL7" s="139"/>
      <c r="AJM7" s="139"/>
      <c r="AJN7" s="139"/>
      <c r="AJO7" s="139"/>
      <c r="AJP7" s="139"/>
      <c r="AJQ7" s="139"/>
      <c r="AJR7" s="139"/>
      <c r="AJS7" s="139"/>
      <c r="AJT7" s="139"/>
      <c r="AJU7" s="139"/>
      <c r="AJV7" s="139"/>
      <c r="AJW7" s="139"/>
      <c r="AJX7" s="139"/>
      <c r="AJY7" s="139"/>
      <c r="AJZ7" s="139"/>
      <c r="AKA7" s="139"/>
      <c r="AKB7" s="139"/>
      <c r="AKC7" s="139"/>
      <c r="AKD7" s="139"/>
      <c r="AKE7" s="139"/>
      <c r="AKF7" s="139"/>
      <c r="AKG7" s="139"/>
      <c r="AKH7" s="139"/>
      <c r="AKI7" s="139"/>
      <c r="AKJ7" s="139"/>
      <c r="AKK7" s="139"/>
      <c r="AKL7" s="139"/>
      <c r="AKM7" s="139"/>
      <c r="AKN7" s="139"/>
      <c r="AKO7" s="139"/>
      <c r="AKP7" s="139"/>
      <c r="AKQ7" s="139"/>
      <c r="AKR7" s="139"/>
      <c r="AKS7" s="139"/>
      <c r="AKT7" s="139"/>
      <c r="AKU7" s="139"/>
      <c r="AKV7" s="139"/>
      <c r="AKW7" s="139"/>
      <c r="AKX7" s="139"/>
      <c r="AKY7" s="139"/>
      <c r="AKZ7" s="139"/>
      <c r="ALA7" s="139"/>
      <c r="ALB7" s="139"/>
      <c r="ALC7" s="139"/>
      <c r="ALD7" s="139"/>
      <c r="ALE7" s="139"/>
      <c r="ALF7" s="139"/>
      <c r="ALG7" s="139"/>
      <c r="ALH7" s="139"/>
      <c r="ALI7" s="139"/>
      <c r="ALJ7" s="139"/>
      <c r="ALK7" s="139"/>
      <c r="ALL7" s="139"/>
      <c r="ALM7" s="139"/>
      <c r="ALN7" s="139"/>
      <c r="ALO7" s="139"/>
      <c r="ALP7" s="139"/>
      <c r="ALQ7" s="139"/>
      <c r="ALR7" s="139"/>
      <c r="ALS7" s="139"/>
      <c r="ALT7" s="139"/>
      <c r="ALU7" s="139"/>
      <c r="ALV7" s="139"/>
      <c r="ALW7" s="139"/>
      <c r="ALX7" s="139"/>
      <c r="ALY7" s="139"/>
      <c r="ALZ7" s="139"/>
      <c r="AMA7" s="139"/>
      <c r="AMB7" s="139"/>
      <c r="AMC7" s="139"/>
      <c r="AMD7" s="139"/>
      <c r="AME7" s="139"/>
      <c r="AMF7" s="139"/>
    </row>
    <row r="8" spans="1:1024" s="140" customFormat="1" x14ac:dyDescent="0.25">
      <c r="A8" s="146" t="s">
        <v>6</v>
      </c>
      <c r="B8" s="84" t="str">
        <f t="shared" ref="B8" si="1">MID($B5,B6,B13)</f>
        <v>11</v>
      </c>
      <c r="C8" s="84" t="str">
        <f t="shared" ref="C8:K8" si="2">MID($B5,C6,C13)</f>
        <v>00010110000010101000010000</v>
      </c>
      <c r="D8" s="84" t="str">
        <f t="shared" si="2"/>
        <v>1000011100000101000010010</v>
      </c>
      <c r="E8" s="84" t="str">
        <f t="shared" si="2"/>
        <v>00</v>
      </c>
      <c r="F8" s="84" t="str">
        <f t="shared" si="2"/>
        <v>001</v>
      </c>
      <c r="G8" s="84" t="str">
        <f t="shared" si="2"/>
        <v>00101100</v>
      </c>
      <c r="H8" s="84" t="str">
        <f t="shared" si="2"/>
        <v>11000100</v>
      </c>
      <c r="I8" s="84" t="str">
        <f t="shared" si="2"/>
        <v>01010000</v>
      </c>
      <c r="J8" s="84" t="str">
        <f t="shared" si="2"/>
        <v>00000000</v>
      </c>
      <c r="K8" s="84" t="str">
        <f t="shared" si="2"/>
        <v>000000</v>
      </c>
      <c r="L8" s="14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A8" s="139"/>
      <c r="DB8" s="139"/>
      <c r="DC8" s="139"/>
      <c r="DD8" s="139"/>
      <c r="DE8" s="139"/>
      <c r="DF8" s="139"/>
      <c r="DG8" s="139"/>
      <c r="DH8" s="139"/>
      <c r="DI8" s="139"/>
      <c r="DJ8" s="139"/>
      <c r="DK8" s="139"/>
      <c r="DL8" s="139"/>
      <c r="DM8" s="139"/>
      <c r="DN8" s="139"/>
      <c r="DO8" s="139"/>
      <c r="DP8" s="139"/>
      <c r="DQ8" s="139"/>
      <c r="DR8" s="139"/>
      <c r="DS8" s="139"/>
      <c r="DT8" s="139"/>
      <c r="DU8" s="139"/>
      <c r="DV8" s="139"/>
      <c r="DW8" s="139"/>
      <c r="DX8" s="139"/>
      <c r="DY8" s="139"/>
      <c r="DZ8" s="139"/>
      <c r="EA8" s="139"/>
      <c r="EB8" s="139"/>
      <c r="EC8" s="139"/>
      <c r="ED8" s="139"/>
      <c r="EE8" s="139"/>
      <c r="EF8" s="139"/>
      <c r="EG8" s="139"/>
      <c r="EH8" s="139"/>
      <c r="EI8" s="139"/>
      <c r="EJ8" s="139"/>
      <c r="EK8" s="139"/>
      <c r="EL8" s="139"/>
      <c r="EM8" s="139"/>
      <c r="EN8" s="139"/>
      <c r="EO8" s="139"/>
      <c r="EP8" s="139"/>
      <c r="EQ8" s="139"/>
      <c r="ER8" s="139"/>
      <c r="ES8" s="139"/>
      <c r="ET8" s="139"/>
      <c r="EU8" s="139"/>
      <c r="EV8" s="139"/>
      <c r="EW8" s="139"/>
      <c r="EX8" s="139"/>
      <c r="EY8" s="139"/>
      <c r="EZ8" s="139"/>
      <c r="FA8" s="139"/>
      <c r="FB8" s="139"/>
      <c r="FC8" s="139"/>
      <c r="FD8" s="139"/>
      <c r="FE8" s="139"/>
      <c r="FF8" s="139"/>
      <c r="FG8" s="139"/>
      <c r="FH8" s="139"/>
      <c r="FI8" s="139"/>
      <c r="FJ8" s="139"/>
      <c r="FK8" s="139"/>
      <c r="FL8" s="139"/>
      <c r="FM8" s="139"/>
      <c r="FN8" s="139"/>
      <c r="FO8" s="139"/>
      <c r="FP8" s="139"/>
      <c r="FQ8" s="139"/>
      <c r="FR8" s="139"/>
      <c r="FS8" s="139"/>
      <c r="FT8" s="139"/>
      <c r="FU8" s="139"/>
      <c r="FV8" s="139"/>
      <c r="FW8" s="139"/>
      <c r="FX8" s="139"/>
      <c r="FY8" s="139"/>
      <c r="FZ8" s="139"/>
      <c r="GA8" s="139"/>
      <c r="GB8" s="139"/>
      <c r="GC8" s="139"/>
      <c r="GD8" s="139"/>
      <c r="GE8" s="139"/>
      <c r="GF8" s="139"/>
      <c r="GG8" s="139"/>
      <c r="GH8" s="139"/>
      <c r="GI8" s="139"/>
      <c r="GJ8" s="139"/>
      <c r="GK8" s="139"/>
      <c r="GL8" s="139"/>
      <c r="GM8" s="139"/>
      <c r="GN8" s="139"/>
      <c r="GO8" s="139"/>
      <c r="GP8" s="139"/>
      <c r="GQ8" s="139"/>
      <c r="GR8" s="139"/>
      <c r="GS8" s="139"/>
      <c r="GT8" s="139"/>
      <c r="GU8" s="139"/>
      <c r="GV8" s="139"/>
      <c r="GW8" s="139"/>
      <c r="GX8" s="139"/>
      <c r="GY8" s="139"/>
      <c r="GZ8" s="139"/>
      <c r="HA8" s="139"/>
      <c r="HB8" s="139"/>
      <c r="HC8" s="139"/>
      <c r="HD8" s="139"/>
      <c r="HE8" s="139"/>
      <c r="HF8" s="139"/>
      <c r="HG8" s="139"/>
      <c r="HH8" s="139"/>
      <c r="HI8" s="139"/>
      <c r="HJ8" s="139"/>
      <c r="HK8" s="139"/>
      <c r="HL8" s="139"/>
      <c r="HM8" s="139"/>
      <c r="HN8" s="139"/>
      <c r="HO8" s="139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  <c r="IJ8" s="139"/>
      <c r="IK8" s="139"/>
      <c r="IL8" s="139"/>
      <c r="IM8" s="139"/>
      <c r="IN8" s="139"/>
      <c r="IO8" s="139"/>
      <c r="IP8" s="139"/>
      <c r="IQ8" s="139"/>
      <c r="IR8" s="139"/>
      <c r="IS8" s="139"/>
      <c r="IT8" s="139"/>
      <c r="IU8" s="139"/>
      <c r="IV8" s="139"/>
      <c r="IW8" s="139"/>
      <c r="IX8" s="139"/>
      <c r="IY8" s="139"/>
      <c r="IZ8" s="139"/>
      <c r="JA8" s="139"/>
      <c r="JB8" s="139"/>
      <c r="JC8" s="139"/>
      <c r="JD8" s="139"/>
      <c r="JE8" s="139"/>
      <c r="JF8" s="139"/>
      <c r="JG8" s="139"/>
      <c r="JH8" s="139"/>
      <c r="JI8" s="139"/>
      <c r="JJ8" s="139"/>
      <c r="JK8" s="139"/>
      <c r="JL8" s="139"/>
      <c r="JM8" s="139"/>
      <c r="JN8" s="139"/>
      <c r="JO8" s="139"/>
      <c r="JP8" s="139"/>
      <c r="JQ8" s="139"/>
      <c r="JR8" s="139"/>
      <c r="JS8" s="139"/>
      <c r="JT8" s="139"/>
      <c r="JU8" s="139"/>
      <c r="JV8" s="139"/>
      <c r="JW8" s="139"/>
      <c r="JX8" s="139"/>
      <c r="JY8" s="139"/>
      <c r="JZ8" s="139"/>
      <c r="KA8" s="139"/>
      <c r="KB8" s="139"/>
      <c r="KC8" s="139"/>
      <c r="KD8" s="139"/>
      <c r="KE8" s="139"/>
      <c r="KF8" s="139"/>
      <c r="KG8" s="139"/>
      <c r="KH8" s="139"/>
      <c r="KI8" s="139"/>
      <c r="KJ8" s="139"/>
      <c r="KK8" s="139"/>
      <c r="KL8" s="139"/>
      <c r="KM8" s="139"/>
      <c r="KN8" s="139"/>
      <c r="KO8" s="139"/>
      <c r="KP8" s="139"/>
      <c r="KQ8" s="139"/>
      <c r="KR8" s="139"/>
      <c r="KS8" s="139"/>
      <c r="KT8" s="139"/>
      <c r="KU8" s="139"/>
      <c r="KV8" s="139"/>
      <c r="KW8" s="139"/>
      <c r="KX8" s="139"/>
      <c r="KY8" s="139"/>
      <c r="KZ8" s="139"/>
      <c r="LA8" s="139"/>
      <c r="LB8" s="139"/>
      <c r="LC8" s="139"/>
      <c r="LD8" s="139"/>
      <c r="LE8" s="139"/>
      <c r="LF8" s="139"/>
      <c r="LG8" s="139"/>
      <c r="LH8" s="139"/>
      <c r="LI8" s="139"/>
      <c r="LJ8" s="139"/>
      <c r="LK8" s="139"/>
      <c r="LL8" s="139"/>
      <c r="LM8" s="139"/>
      <c r="LN8" s="139"/>
      <c r="LO8" s="139"/>
      <c r="LP8" s="139"/>
      <c r="LQ8" s="139"/>
      <c r="LR8" s="139"/>
      <c r="LS8" s="139"/>
      <c r="LT8" s="139"/>
      <c r="LU8" s="139"/>
      <c r="LV8" s="139"/>
      <c r="LW8" s="139"/>
      <c r="LX8" s="139"/>
      <c r="LY8" s="139"/>
      <c r="LZ8" s="139"/>
      <c r="MA8" s="139"/>
      <c r="MB8" s="139"/>
      <c r="MC8" s="139"/>
      <c r="MD8" s="139"/>
      <c r="ME8" s="139"/>
      <c r="MF8" s="139"/>
      <c r="MG8" s="139"/>
      <c r="MH8" s="139"/>
      <c r="MI8" s="139"/>
      <c r="MJ8" s="139"/>
      <c r="MK8" s="139"/>
      <c r="ML8" s="139"/>
      <c r="MM8" s="139"/>
      <c r="MN8" s="139"/>
      <c r="MO8" s="139"/>
      <c r="MP8" s="139"/>
      <c r="MQ8" s="139"/>
      <c r="MR8" s="139"/>
      <c r="MS8" s="139"/>
      <c r="MT8" s="139"/>
      <c r="MU8" s="139"/>
      <c r="MV8" s="139"/>
      <c r="MW8" s="139"/>
      <c r="MX8" s="139"/>
      <c r="MY8" s="139"/>
      <c r="MZ8" s="139"/>
      <c r="NA8" s="139"/>
      <c r="NB8" s="139"/>
      <c r="NC8" s="139"/>
      <c r="ND8" s="139"/>
      <c r="NE8" s="139"/>
      <c r="NF8" s="139"/>
      <c r="NG8" s="139"/>
      <c r="NH8" s="139"/>
      <c r="NI8" s="139"/>
      <c r="NJ8" s="139"/>
      <c r="NK8" s="139"/>
      <c r="NL8" s="139"/>
      <c r="NM8" s="139"/>
      <c r="NN8" s="139"/>
      <c r="NO8" s="139"/>
      <c r="NP8" s="139"/>
      <c r="NQ8" s="139"/>
      <c r="NR8" s="139"/>
      <c r="NS8" s="139"/>
      <c r="NT8" s="139"/>
      <c r="NU8" s="139"/>
      <c r="NV8" s="139"/>
      <c r="NW8" s="139"/>
      <c r="NX8" s="139"/>
      <c r="NY8" s="139"/>
      <c r="NZ8" s="139"/>
      <c r="OA8" s="139"/>
      <c r="OB8" s="139"/>
      <c r="OC8" s="139"/>
      <c r="OD8" s="139"/>
      <c r="OE8" s="139"/>
      <c r="OF8" s="139"/>
      <c r="OG8" s="139"/>
      <c r="OH8" s="139"/>
      <c r="OI8" s="139"/>
      <c r="OJ8" s="139"/>
      <c r="OK8" s="139"/>
      <c r="OL8" s="139"/>
      <c r="OM8" s="139"/>
      <c r="ON8" s="139"/>
      <c r="OO8" s="139"/>
      <c r="OP8" s="139"/>
      <c r="OQ8" s="139"/>
      <c r="OR8" s="139"/>
      <c r="OS8" s="139"/>
      <c r="OT8" s="139"/>
      <c r="OU8" s="139"/>
      <c r="OV8" s="139"/>
      <c r="OW8" s="139"/>
      <c r="OX8" s="139"/>
      <c r="OY8" s="139"/>
      <c r="OZ8" s="139"/>
      <c r="PA8" s="139"/>
      <c r="PB8" s="139"/>
      <c r="PC8" s="139"/>
      <c r="PD8" s="139"/>
      <c r="PE8" s="139"/>
      <c r="PF8" s="139"/>
      <c r="PG8" s="139"/>
      <c r="PH8" s="139"/>
      <c r="PI8" s="139"/>
      <c r="PJ8" s="139"/>
      <c r="PK8" s="139"/>
      <c r="PL8" s="139"/>
      <c r="PM8" s="139"/>
      <c r="PN8" s="139"/>
      <c r="PO8" s="139"/>
      <c r="PP8" s="139"/>
      <c r="PQ8" s="139"/>
      <c r="PR8" s="139"/>
      <c r="PS8" s="139"/>
      <c r="PT8" s="139"/>
      <c r="PU8" s="139"/>
      <c r="PV8" s="139"/>
      <c r="PW8" s="139"/>
      <c r="PX8" s="139"/>
      <c r="PY8" s="139"/>
      <c r="PZ8" s="139"/>
      <c r="QA8" s="139"/>
      <c r="QB8" s="139"/>
      <c r="QC8" s="139"/>
      <c r="QD8" s="139"/>
      <c r="QE8" s="139"/>
      <c r="QF8" s="139"/>
      <c r="QG8" s="139"/>
      <c r="QH8" s="139"/>
      <c r="QI8" s="139"/>
      <c r="QJ8" s="139"/>
      <c r="QK8" s="139"/>
      <c r="QL8" s="139"/>
      <c r="QM8" s="139"/>
      <c r="QN8" s="139"/>
      <c r="QO8" s="139"/>
      <c r="QP8" s="139"/>
      <c r="QQ8" s="139"/>
      <c r="QR8" s="139"/>
      <c r="QS8" s="139"/>
      <c r="QT8" s="139"/>
      <c r="QU8" s="139"/>
      <c r="QV8" s="139"/>
      <c r="QW8" s="139"/>
      <c r="QX8" s="139"/>
      <c r="QY8" s="139"/>
      <c r="QZ8" s="139"/>
      <c r="RA8" s="139"/>
      <c r="RB8" s="139"/>
      <c r="RC8" s="139"/>
      <c r="RD8" s="139"/>
      <c r="RE8" s="139"/>
      <c r="RF8" s="139"/>
      <c r="RG8" s="139"/>
      <c r="RH8" s="139"/>
      <c r="RI8" s="139"/>
      <c r="RJ8" s="139"/>
      <c r="RK8" s="139"/>
      <c r="RL8" s="139"/>
      <c r="RM8" s="139"/>
      <c r="RN8" s="139"/>
      <c r="RO8" s="139"/>
      <c r="RP8" s="139"/>
      <c r="RQ8" s="139"/>
      <c r="RR8" s="139"/>
      <c r="RS8" s="139"/>
      <c r="RT8" s="139"/>
      <c r="RU8" s="139"/>
      <c r="RV8" s="139"/>
      <c r="RW8" s="139"/>
      <c r="RX8" s="139"/>
      <c r="RY8" s="139"/>
      <c r="RZ8" s="139"/>
      <c r="SA8" s="139"/>
      <c r="SB8" s="139"/>
      <c r="SC8" s="139"/>
      <c r="SD8" s="139"/>
      <c r="SE8" s="139"/>
      <c r="SF8" s="139"/>
      <c r="SG8" s="139"/>
      <c r="SH8" s="139"/>
      <c r="SI8" s="139"/>
      <c r="SJ8" s="139"/>
      <c r="SK8" s="139"/>
      <c r="SL8" s="139"/>
      <c r="SM8" s="139"/>
      <c r="SN8" s="139"/>
      <c r="SO8" s="139"/>
      <c r="SP8" s="139"/>
      <c r="SQ8" s="139"/>
      <c r="SR8" s="139"/>
      <c r="SS8" s="139"/>
      <c r="ST8" s="139"/>
      <c r="SU8" s="139"/>
      <c r="SV8" s="139"/>
      <c r="SW8" s="139"/>
      <c r="SX8" s="139"/>
      <c r="SY8" s="139"/>
      <c r="SZ8" s="139"/>
      <c r="TA8" s="139"/>
      <c r="TB8" s="139"/>
      <c r="TC8" s="139"/>
      <c r="TD8" s="139"/>
      <c r="TE8" s="139"/>
      <c r="TF8" s="139"/>
      <c r="TG8" s="139"/>
      <c r="TH8" s="139"/>
      <c r="TI8" s="139"/>
      <c r="TJ8" s="139"/>
      <c r="TK8" s="139"/>
      <c r="TL8" s="139"/>
      <c r="TM8" s="139"/>
      <c r="TN8" s="139"/>
      <c r="TO8" s="139"/>
      <c r="TP8" s="139"/>
      <c r="TQ8" s="139"/>
      <c r="TR8" s="139"/>
      <c r="TS8" s="139"/>
      <c r="TT8" s="139"/>
      <c r="TU8" s="139"/>
      <c r="TV8" s="139"/>
      <c r="TW8" s="139"/>
      <c r="TX8" s="139"/>
      <c r="TY8" s="139"/>
      <c r="TZ8" s="139"/>
      <c r="UA8" s="139"/>
      <c r="UB8" s="139"/>
      <c r="UC8" s="139"/>
      <c r="UD8" s="139"/>
      <c r="UE8" s="139"/>
      <c r="UF8" s="139"/>
      <c r="UG8" s="139"/>
      <c r="UH8" s="139"/>
      <c r="UI8" s="139"/>
      <c r="UJ8" s="139"/>
      <c r="UK8" s="139"/>
      <c r="UL8" s="139"/>
      <c r="UM8" s="139"/>
      <c r="UN8" s="139"/>
      <c r="UO8" s="139"/>
      <c r="UP8" s="139"/>
      <c r="UQ8" s="139"/>
      <c r="UR8" s="139"/>
      <c r="US8" s="139"/>
      <c r="UT8" s="139"/>
      <c r="UU8" s="139"/>
      <c r="UV8" s="139"/>
      <c r="UW8" s="139"/>
      <c r="UX8" s="139"/>
      <c r="UY8" s="139"/>
      <c r="UZ8" s="139"/>
      <c r="VA8" s="139"/>
      <c r="VB8" s="139"/>
      <c r="VC8" s="139"/>
      <c r="VD8" s="139"/>
      <c r="VE8" s="139"/>
      <c r="VF8" s="139"/>
      <c r="VG8" s="139"/>
      <c r="VH8" s="139"/>
      <c r="VI8" s="139"/>
      <c r="VJ8" s="139"/>
      <c r="VK8" s="139"/>
      <c r="VL8" s="139"/>
      <c r="VM8" s="139"/>
      <c r="VN8" s="139"/>
      <c r="VO8" s="139"/>
      <c r="VP8" s="139"/>
      <c r="VQ8" s="139"/>
      <c r="VR8" s="139"/>
      <c r="VS8" s="139"/>
      <c r="VT8" s="139"/>
      <c r="VU8" s="139"/>
      <c r="VV8" s="139"/>
      <c r="VW8" s="139"/>
      <c r="VX8" s="139"/>
      <c r="VY8" s="139"/>
      <c r="VZ8" s="139"/>
      <c r="WA8" s="139"/>
      <c r="WB8" s="139"/>
      <c r="WC8" s="139"/>
      <c r="WD8" s="139"/>
      <c r="WE8" s="139"/>
      <c r="WF8" s="139"/>
      <c r="WG8" s="139"/>
      <c r="WH8" s="139"/>
      <c r="WI8" s="139"/>
      <c r="WJ8" s="139"/>
      <c r="WK8" s="139"/>
      <c r="WL8" s="139"/>
      <c r="WM8" s="139"/>
      <c r="WN8" s="139"/>
      <c r="WO8" s="139"/>
      <c r="WP8" s="139"/>
      <c r="WQ8" s="139"/>
      <c r="WR8" s="139"/>
      <c r="WS8" s="139"/>
      <c r="WT8" s="139"/>
      <c r="WU8" s="139"/>
      <c r="WV8" s="139"/>
      <c r="WW8" s="139"/>
      <c r="WX8" s="139"/>
      <c r="WY8" s="139"/>
      <c r="WZ8" s="139"/>
      <c r="XA8" s="139"/>
      <c r="XB8" s="139"/>
      <c r="XC8" s="139"/>
      <c r="XD8" s="139"/>
      <c r="XE8" s="139"/>
      <c r="XF8" s="139"/>
      <c r="XG8" s="139"/>
      <c r="XH8" s="139"/>
      <c r="XI8" s="139"/>
      <c r="XJ8" s="139"/>
      <c r="XK8" s="139"/>
      <c r="XL8" s="139"/>
      <c r="XM8" s="139"/>
      <c r="XN8" s="139"/>
      <c r="XO8" s="139"/>
      <c r="XP8" s="139"/>
      <c r="XQ8" s="139"/>
      <c r="XR8" s="139"/>
      <c r="XS8" s="139"/>
      <c r="XT8" s="139"/>
      <c r="XU8" s="139"/>
      <c r="XV8" s="139"/>
      <c r="XW8" s="139"/>
      <c r="XX8" s="139"/>
      <c r="XY8" s="139"/>
      <c r="XZ8" s="139"/>
      <c r="YA8" s="139"/>
      <c r="YB8" s="139"/>
      <c r="YC8" s="139"/>
      <c r="YD8" s="139"/>
      <c r="YE8" s="139"/>
      <c r="YF8" s="139"/>
      <c r="YG8" s="139"/>
      <c r="YH8" s="139"/>
      <c r="YI8" s="139"/>
      <c r="YJ8" s="139"/>
      <c r="YK8" s="139"/>
      <c r="YL8" s="139"/>
      <c r="YM8" s="139"/>
      <c r="YN8" s="139"/>
      <c r="YO8" s="139"/>
      <c r="YP8" s="139"/>
      <c r="YQ8" s="139"/>
      <c r="YR8" s="139"/>
      <c r="YS8" s="139"/>
      <c r="YT8" s="139"/>
      <c r="YU8" s="139"/>
      <c r="YV8" s="139"/>
      <c r="YW8" s="139"/>
      <c r="YX8" s="139"/>
      <c r="YY8" s="139"/>
      <c r="YZ8" s="139"/>
      <c r="ZA8" s="139"/>
      <c r="ZB8" s="139"/>
      <c r="ZC8" s="139"/>
      <c r="ZD8" s="139"/>
      <c r="ZE8" s="139"/>
      <c r="ZF8" s="139"/>
      <c r="ZG8" s="139"/>
      <c r="ZH8" s="139"/>
      <c r="ZI8" s="139"/>
      <c r="ZJ8" s="139"/>
      <c r="ZK8" s="139"/>
      <c r="ZL8" s="139"/>
      <c r="ZM8" s="139"/>
      <c r="ZN8" s="139"/>
      <c r="ZO8" s="139"/>
      <c r="ZP8" s="139"/>
      <c r="ZQ8" s="139"/>
      <c r="ZR8" s="139"/>
      <c r="ZS8" s="139"/>
      <c r="ZT8" s="139"/>
      <c r="ZU8" s="139"/>
      <c r="ZV8" s="139"/>
      <c r="ZW8" s="139"/>
      <c r="ZX8" s="139"/>
      <c r="ZY8" s="139"/>
      <c r="ZZ8" s="139"/>
      <c r="AAA8" s="139"/>
      <c r="AAB8" s="139"/>
      <c r="AAC8" s="139"/>
      <c r="AAD8" s="139"/>
      <c r="AAE8" s="139"/>
      <c r="AAF8" s="139"/>
      <c r="AAG8" s="139"/>
      <c r="AAH8" s="139"/>
      <c r="AAI8" s="139"/>
      <c r="AAJ8" s="139"/>
      <c r="AAK8" s="139"/>
      <c r="AAL8" s="139"/>
      <c r="AAM8" s="139"/>
      <c r="AAN8" s="139"/>
      <c r="AAO8" s="139"/>
      <c r="AAP8" s="139"/>
      <c r="AAQ8" s="139"/>
      <c r="AAR8" s="139"/>
      <c r="AAS8" s="139"/>
      <c r="AAT8" s="139"/>
      <c r="AAU8" s="139"/>
      <c r="AAV8" s="139"/>
      <c r="AAW8" s="139"/>
      <c r="AAX8" s="139"/>
      <c r="AAY8" s="139"/>
      <c r="AAZ8" s="139"/>
      <c r="ABA8" s="139"/>
      <c r="ABB8" s="139"/>
      <c r="ABC8" s="139"/>
      <c r="ABD8" s="139"/>
      <c r="ABE8" s="139"/>
      <c r="ABF8" s="139"/>
      <c r="ABG8" s="139"/>
      <c r="ABH8" s="139"/>
      <c r="ABI8" s="139"/>
      <c r="ABJ8" s="139"/>
      <c r="ABK8" s="139"/>
      <c r="ABL8" s="139"/>
      <c r="ABM8" s="139"/>
      <c r="ABN8" s="139"/>
      <c r="ABO8" s="139"/>
      <c r="ABP8" s="139"/>
      <c r="ABQ8" s="139"/>
      <c r="ABR8" s="139"/>
      <c r="ABS8" s="139"/>
      <c r="ABT8" s="139"/>
      <c r="ABU8" s="139"/>
      <c r="ABV8" s="139"/>
      <c r="ABW8" s="139"/>
      <c r="ABX8" s="139"/>
      <c r="ABY8" s="139"/>
      <c r="ABZ8" s="139"/>
      <c r="ACA8" s="139"/>
      <c r="ACB8" s="139"/>
      <c r="ACC8" s="139"/>
      <c r="ACD8" s="139"/>
      <c r="ACE8" s="139"/>
      <c r="ACF8" s="139"/>
      <c r="ACG8" s="139"/>
      <c r="ACH8" s="139"/>
      <c r="ACI8" s="139"/>
      <c r="ACJ8" s="139"/>
      <c r="ACK8" s="139"/>
      <c r="ACL8" s="139"/>
      <c r="ACM8" s="139"/>
      <c r="ACN8" s="139"/>
      <c r="ACO8" s="139"/>
      <c r="ACP8" s="139"/>
      <c r="ACQ8" s="139"/>
      <c r="ACR8" s="139"/>
      <c r="ACS8" s="139"/>
      <c r="ACT8" s="139"/>
      <c r="ACU8" s="139"/>
      <c r="ACV8" s="139"/>
      <c r="ACW8" s="139"/>
      <c r="ACX8" s="139"/>
      <c r="ACY8" s="139"/>
      <c r="ACZ8" s="139"/>
      <c r="ADA8" s="139"/>
      <c r="ADB8" s="139"/>
      <c r="ADC8" s="139"/>
      <c r="ADD8" s="139"/>
      <c r="ADE8" s="139"/>
      <c r="ADF8" s="139"/>
      <c r="ADG8" s="139"/>
      <c r="ADH8" s="139"/>
      <c r="ADI8" s="139"/>
      <c r="ADJ8" s="139"/>
      <c r="ADK8" s="139"/>
      <c r="ADL8" s="139"/>
      <c r="ADM8" s="139"/>
      <c r="ADN8" s="139"/>
      <c r="ADO8" s="139"/>
      <c r="ADP8" s="139"/>
      <c r="ADQ8" s="139"/>
      <c r="ADR8" s="139"/>
      <c r="ADS8" s="139"/>
      <c r="ADT8" s="139"/>
      <c r="ADU8" s="139"/>
      <c r="ADV8" s="139"/>
      <c r="ADW8" s="139"/>
      <c r="ADX8" s="139"/>
      <c r="ADY8" s="139"/>
      <c r="ADZ8" s="139"/>
      <c r="AEA8" s="139"/>
      <c r="AEB8" s="139"/>
      <c r="AEC8" s="139"/>
      <c r="AED8" s="139"/>
      <c r="AEE8" s="139"/>
      <c r="AEF8" s="139"/>
      <c r="AEG8" s="139"/>
      <c r="AEH8" s="139"/>
      <c r="AEI8" s="139"/>
      <c r="AEJ8" s="139"/>
      <c r="AEK8" s="139"/>
      <c r="AEL8" s="139"/>
      <c r="AEM8" s="139"/>
      <c r="AEN8" s="139"/>
      <c r="AEO8" s="139"/>
      <c r="AEP8" s="139"/>
      <c r="AEQ8" s="139"/>
      <c r="AER8" s="139"/>
      <c r="AES8" s="139"/>
      <c r="AET8" s="139"/>
      <c r="AEU8" s="139"/>
      <c r="AEV8" s="139"/>
      <c r="AEW8" s="139"/>
      <c r="AEX8" s="139"/>
      <c r="AEY8" s="139"/>
      <c r="AEZ8" s="139"/>
      <c r="AFA8" s="139"/>
      <c r="AFB8" s="139"/>
      <c r="AFC8" s="139"/>
      <c r="AFD8" s="139"/>
      <c r="AFE8" s="139"/>
      <c r="AFF8" s="139"/>
      <c r="AFG8" s="139"/>
      <c r="AFH8" s="139"/>
      <c r="AFI8" s="139"/>
      <c r="AFJ8" s="139"/>
      <c r="AFK8" s="139"/>
      <c r="AFL8" s="139"/>
      <c r="AFM8" s="139"/>
      <c r="AFN8" s="139"/>
      <c r="AFO8" s="139"/>
      <c r="AFP8" s="139"/>
      <c r="AFQ8" s="139"/>
      <c r="AFR8" s="139"/>
      <c r="AFS8" s="139"/>
      <c r="AFT8" s="139"/>
      <c r="AFU8" s="139"/>
      <c r="AFV8" s="139"/>
      <c r="AFW8" s="139"/>
      <c r="AFX8" s="139"/>
      <c r="AFY8" s="139"/>
      <c r="AFZ8" s="139"/>
      <c r="AGA8" s="139"/>
      <c r="AGB8" s="139"/>
      <c r="AGC8" s="139"/>
      <c r="AGD8" s="139"/>
      <c r="AGE8" s="139"/>
      <c r="AGF8" s="139"/>
      <c r="AGG8" s="139"/>
      <c r="AGH8" s="139"/>
      <c r="AGI8" s="139"/>
      <c r="AGJ8" s="139"/>
      <c r="AGK8" s="139"/>
      <c r="AGL8" s="139"/>
      <c r="AGM8" s="139"/>
      <c r="AGN8" s="139"/>
      <c r="AGO8" s="139"/>
      <c r="AGP8" s="139"/>
      <c r="AGQ8" s="139"/>
      <c r="AGR8" s="139"/>
      <c r="AGS8" s="139"/>
      <c r="AGT8" s="139"/>
      <c r="AGU8" s="139"/>
      <c r="AGV8" s="139"/>
      <c r="AGW8" s="139"/>
      <c r="AGX8" s="139"/>
      <c r="AGY8" s="139"/>
      <c r="AGZ8" s="139"/>
      <c r="AHA8" s="139"/>
      <c r="AHB8" s="139"/>
      <c r="AHC8" s="139"/>
      <c r="AHD8" s="139"/>
      <c r="AHE8" s="139"/>
      <c r="AHF8" s="139"/>
      <c r="AHG8" s="139"/>
      <c r="AHH8" s="139"/>
      <c r="AHI8" s="139"/>
      <c r="AHJ8" s="139"/>
      <c r="AHK8" s="139"/>
      <c r="AHL8" s="139"/>
      <c r="AHM8" s="139"/>
      <c r="AHN8" s="139"/>
      <c r="AHO8" s="139"/>
      <c r="AHP8" s="139"/>
      <c r="AHQ8" s="139"/>
      <c r="AHR8" s="139"/>
      <c r="AHS8" s="139"/>
      <c r="AHT8" s="139"/>
      <c r="AHU8" s="139"/>
      <c r="AHV8" s="139"/>
      <c r="AHW8" s="139"/>
      <c r="AHX8" s="139"/>
      <c r="AHY8" s="139"/>
      <c r="AHZ8" s="139"/>
      <c r="AIA8" s="139"/>
      <c r="AIB8" s="139"/>
      <c r="AIC8" s="139"/>
      <c r="AID8" s="139"/>
      <c r="AIE8" s="139"/>
      <c r="AIF8" s="139"/>
      <c r="AIG8" s="139"/>
      <c r="AIH8" s="139"/>
      <c r="AII8" s="139"/>
      <c r="AIJ8" s="139"/>
      <c r="AIK8" s="139"/>
      <c r="AIL8" s="139"/>
      <c r="AIM8" s="139"/>
      <c r="AIN8" s="139"/>
      <c r="AIO8" s="139"/>
      <c r="AIP8" s="139"/>
      <c r="AIQ8" s="139"/>
      <c r="AIR8" s="139"/>
      <c r="AIS8" s="139"/>
      <c r="AIT8" s="139"/>
      <c r="AIU8" s="139"/>
      <c r="AIV8" s="139"/>
      <c r="AIW8" s="139"/>
      <c r="AIX8" s="139"/>
      <c r="AIY8" s="139"/>
      <c r="AIZ8" s="139"/>
      <c r="AJA8" s="139"/>
      <c r="AJB8" s="139"/>
      <c r="AJC8" s="139"/>
      <c r="AJD8" s="139"/>
      <c r="AJE8" s="139"/>
      <c r="AJF8" s="139"/>
      <c r="AJG8" s="139"/>
      <c r="AJH8" s="139"/>
      <c r="AJI8" s="139"/>
      <c r="AJJ8" s="139"/>
      <c r="AJK8" s="139"/>
      <c r="AJL8" s="139"/>
      <c r="AJM8" s="139"/>
      <c r="AJN8" s="139"/>
      <c r="AJO8" s="139"/>
      <c r="AJP8" s="139"/>
      <c r="AJQ8" s="139"/>
      <c r="AJR8" s="139"/>
      <c r="AJS8" s="139"/>
      <c r="AJT8" s="139"/>
      <c r="AJU8" s="139"/>
      <c r="AJV8" s="139"/>
      <c r="AJW8" s="139"/>
      <c r="AJX8" s="139"/>
      <c r="AJY8" s="139"/>
      <c r="AJZ8" s="139"/>
      <c r="AKA8" s="139"/>
      <c r="AKB8" s="139"/>
      <c r="AKC8" s="139"/>
      <c r="AKD8" s="139"/>
      <c r="AKE8" s="139"/>
      <c r="AKF8" s="139"/>
      <c r="AKG8" s="139"/>
      <c r="AKH8" s="139"/>
      <c r="AKI8" s="139"/>
      <c r="AKJ8" s="139"/>
      <c r="AKK8" s="139"/>
      <c r="AKL8" s="139"/>
      <c r="AKM8" s="139"/>
      <c r="AKN8" s="139"/>
      <c r="AKO8" s="139"/>
      <c r="AKP8" s="139"/>
      <c r="AKQ8" s="139"/>
      <c r="AKR8" s="139"/>
      <c r="AKS8" s="139"/>
      <c r="AKT8" s="139"/>
      <c r="AKU8" s="139"/>
      <c r="AKV8" s="139"/>
      <c r="AKW8" s="139"/>
      <c r="AKX8" s="139"/>
      <c r="AKY8" s="139"/>
      <c r="AKZ8" s="139"/>
      <c r="ALA8" s="139"/>
      <c r="ALB8" s="139"/>
      <c r="ALC8" s="139"/>
      <c r="ALD8" s="139"/>
      <c r="ALE8" s="139"/>
      <c r="ALF8" s="139"/>
      <c r="ALG8" s="139"/>
      <c r="ALH8" s="139"/>
      <c r="ALI8" s="139"/>
      <c r="ALJ8" s="139"/>
      <c r="ALK8" s="139"/>
      <c r="ALL8" s="139"/>
      <c r="ALM8" s="139"/>
      <c r="ALN8" s="139"/>
      <c r="ALO8" s="139"/>
      <c r="ALP8" s="139"/>
      <c r="ALQ8" s="139"/>
      <c r="ALR8" s="139"/>
      <c r="ALS8" s="139"/>
      <c r="ALT8" s="139"/>
      <c r="ALU8" s="139"/>
      <c r="ALV8" s="139"/>
      <c r="ALW8" s="139"/>
      <c r="ALX8" s="139"/>
      <c r="ALY8" s="139"/>
      <c r="ALZ8" s="139"/>
      <c r="AMA8" s="139"/>
      <c r="AMB8" s="139"/>
      <c r="AMC8" s="139"/>
      <c r="AMD8" s="139"/>
      <c r="AME8" s="139"/>
      <c r="AMF8" s="139"/>
    </row>
    <row r="9" spans="1:1024" s="140" customFormat="1" x14ac:dyDescent="0.25">
      <c r="A9" s="146" t="s">
        <v>7</v>
      </c>
      <c r="B9" s="84">
        <f t="shared" ref="B9:D9" ca="1" si="3">SUMPRODUCT(--MID(B8,LEN(B8)+1-ROW(INDIRECT("1:"&amp;LEN(B8))),1),(2^(ROW(INDIRECT("1:"&amp;LEN(B8)))-1)))</f>
        <v>3</v>
      </c>
      <c r="C9" s="84">
        <f t="shared" ca="1" si="3"/>
        <v>5777936</v>
      </c>
      <c r="D9" s="84">
        <f t="shared" ca="1" si="3"/>
        <v>17697298</v>
      </c>
      <c r="E9" s="84">
        <f t="shared" ref="E9" ca="1" si="4">SUMPRODUCT(--MID(E8,LEN(E8)+1-ROW(INDIRECT("1:"&amp;LEN(E8))),1),(2^(ROW(INDIRECT("1:"&amp;LEN(E8)))-1)))</f>
        <v>0</v>
      </c>
      <c r="F9" s="84">
        <f t="shared" ref="F9" ca="1" si="5">SUMPRODUCT(--MID(F8,LEN(F8)+1-ROW(INDIRECT("1:"&amp;LEN(F8))),1),(2^(ROW(INDIRECT("1:"&amp;LEN(F8)))-1)))</f>
        <v>1</v>
      </c>
      <c r="G9" s="84">
        <f t="shared" ref="G9" ca="1" si="6">SUMPRODUCT(--MID(G8,LEN(G8)+1-ROW(INDIRECT("1:"&amp;LEN(G8))),1),(2^(ROW(INDIRECT("1:"&amp;LEN(G8)))-1)))</f>
        <v>44</v>
      </c>
      <c r="H9" s="84">
        <f t="shared" ref="H9" ca="1" si="7">SUMPRODUCT(--MID(H8,LEN(H8)+1-ROW(INDIRECT("1:"&amp;LEN(H8))),1),(2^(ROW(INDIRECT("1:"&amp;LEN(H8)))-1)))</f>
        <v>196</v>
      </c>
      <c r="I9" s="84">
        <f t="shared" ref="I9" ca="1" si="8">SUMPRODUCT(--MID(I8,LEN(I8)+1-ROW(INDIRECT("1:"&amp;LEN(I8))),1),(2^(ROW(INDIRECT("1:"&amp;LEN(I8)))-1)))</f>
        <v>80</v>
      </c>
      <c r="J9" s="84">
        <f t="shared" ref="J9" ca="1" si="9">SUMPRODUCT(--MID(J8,LEN(J8)+1-ROW(INDIRECT("1:"&amp;LEN(J8))),1),(2^(ROW(INDIRECT("1:"&amp;LEN(J8)))-1)))</f>
        <v>0</v>
      </c>
      <c r="K9" s="84">
        <f t="shared" ref="K9" ca="1" si="10">SUMPRODUCT(--MID(K8,LEN(K8)+1-ROW(INDIRECT("1:"&amp;LEN(K8))),1),(2^(ROW(INDIRECT("1:"&amp;LEN(K8)))-1)))</f>
        <v>0</v>
      </c>
      <c r="L9" s="14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  <c r="DX9" s="139"/>
      <c r="DY9" s="139"/>
      <c r="DZ9" s="139"/>
      <c r="EA9" s="139"/>
      <c r="EB9" s="139"/>
      <c r="EC9" s="139"/>
      <c r="ED9" s="139"/>
      <c r="EE9" s="139"/>
      <c r="EF9" s="139"/>
      <c r="EG9" s="139"/>
      <c r="EH9" s="139"/>
      <c r="EI9" s="139"/>
      <c r="EJ9" s="139"/>
      <c r="EK9" s="139"/>
      <c r="EL9" s="139"/>
      <c r="EM9" s="139"/>
      <c r="EN9" s="139"/>
      <c r="EO9" s="139"/>
      <c r="EP9" s="139"/>
      <c r="EQ9" s="139"/>
      <c r="ER9" s="139"/>
      <c r="ES9" s="139"/>
      <c r="ET9" s="139"/>
      <c r="EU9" s="139"/>
      <c r="EV9" s="139"/>
      <c r="EW9" s="139"/>
      <c r="EX9" s="139"/>
      <c r="EY9" s="139"/>
      <c r="EZ9" s="139"/>
      <c r="FA9" s="139"/>
      <c r="FB9" s="139"/>
      <c r="FC9" s="139"/>
      <c r="FD9" s="139"/>
      <c r="FE9" s="139"/>
      <c r="FF9" s="139"/>
      <c r="FG9" s="139"/>
      <c r="FH9" s="139"/>
      <c r="FI9" s="139"/>
      <c r="FJ9" s="139"/>
      <c r="FK9" s="139"/>
      <c r="FL9" s="139"/>
      <c r="FM9" s="139"/>
      <c r="FN9" s="139"/>
      <c r="FO9" s="139"/>
      <c r="FP9" s="139"/>
      <c r="FQ9" s="139"/>
      <c r="FR9" s="139"/>
      <c r="FS9" s="139"/>
      <c r="FT9" s="139"/>
      <c r="FU9" s="139"/>
      <c r="FV9" s="139"/>
      <c r="FW9" s="139"/>
      <c r="FX9" s="139"/>
      <c r="FY9" s="139"/>
      <c r="FZ9" s="139"/>
      <c r="GA9" s="139"/>
      <c r="GB9" s="139"/>
      <c r="GC9" s="139"/>
      <c r="GD9" s="139"/>
      <c r="GE9" s="139"/>
      <c r="GF9" s="139"/>
      <c r="GG9" s="139"/>
      <c r="GH9" s="139"/>
      <c r="GI9" s="139"/>
      <c r="GJ9" s="139"/>
      <c r="GK9" s="139"/>
      <c r="GL9" s="139"/>
      <c r="GM9" s="139"/>
      <c r="GN9" s="139"/>
      <c r="GO9" s="139"/>
      <c r="GP9" s="139"/>
      <c r="GQ9" s="139"/>
      <c r="GR9" s="139"/>
      <c r="GS9" s="139"/>
      <c r="GT9" s="139"/>
      <c r="GU9" s="139"/>
      <c r="GV9" s="139"/>
      <c r="GW9" s="139"/>
      <c r="GX9" s="139"/>
      <c r="GY9" s="139"/>
      <c r="GZ9" s="139"/>
      <c r="HA9" s="139"/>
      <c r="HB9" s="139"/>
      <c r="HC9" s="139"/>
      <c r="HD9" s="139"/>
      <c r="HE9" s="139"/>
      <c r="HF9" s="139"/>
      <c r="HG9" s="139"/>
      <c r="HH9" s="139"/>
      <c r="HI9" s="139"/>
      <c r="HJ9" s="139"/>
      <c r="HK9" s="139"/>
      <c r="HL9" s="139"/>
      <c r="HM9" s="139"/>
      <c r="HN9" s="139"/>
      <c r="HO9" s="139"/>
      <c r="HP9" s="139"/>
      <c r="HQ9" s="139"/>
      <c r="HR9" s="139"/>
      <c r="HS9" s="139"/>
      <c r="HT9" s="139"/>
      <c r="HU9" s="139"/>
      <c r="HV9" s="139"/>
      <c r="HW9" s="139"/>
      <c r="HX9" s="139"/>
      <c r="HY9" s="139"/>
      <c r="HZ9" s="139"/>
      <c r="IA9" s="139"/>
      <c r="IB9" s="139"/>
      <c r="IC9" s="139"/>
      <c r="ID9" s="139"/>
      <c r="IE9" s="139"/>
      <c r="IF9" s="139"/>
      <c r="IG9" s="139"/>
      <c r="IH9" s="139"/>
      <c r="II9" s="139"/>
      <c r="IJ9" s="139"/>
      <c r="IK9" s="139"/>
      <c r="IL9" s="139"/>
      <c r="IM9" s="139"/>
      <c r="IN9" s="139"/>
      <c r="IO9" s="139"/>
      <c r="IP9" s="139"/>
      <c r="IQ9" s="139"/>
      <c r="IR9" s="139"/>
      <c r="IS9" s="139"/>
      <c r="IT9" s="139"/>
      <c r="IU9" s="139"/>
      <c r="IV9" s="139"/>
      <c r="IW9" s="139"/>
      <c r="IX9" s="139"/>
      <c r="IY9" s="139"/>
      <c r="IZ9" s="139"/>
      <c r="JA9" s="139"/>
      <c r="JB9" s="139"/>
      <c r="JC9" s="139"/>
      <c r="JD9" s="139"/>
      <c r="JE9" s="139"/>
      <c r="JF9" s="139"/>
      <c r="JG9" s="139"/>
      <c r="JH9" s="139"/>
      <c r="JI9" s="139"/>
      <c r="JJ9" s="139"/>
      <c r="JK9" s="139"/>
      <c r="JL9" s="139"/>
      <c r="JM9" s="139"/>
      <c r="JN9" s="139"/>
      <c r="JO9" s="139"/>
      <c r="JP9" s="139"/>
      <c r="JQ9" s="139"/>
      <c r="JR9" s="139"/>
      <c r="JS9" s="139"/>
      <c r="JT9" s="139"/>
      <c r="JU9" s="139"/>
      <c r="JV9" s="139"/>
      <c r="JW9" s="139"/>
      <c r="JX9" s="139"/>
      <c r="JY9" s="139"/>
      <c r="JZ9" s="139"/>
      <c r="KA9" s="139"/>
      <c r="KB9" s="139"/>
      <c r="KC9" s="139"/>
      <c r="KD9" s="139"/>
      <c r="KE9" s="139"/>
      <c r="KF9" s="139"/>
      <c r="KG9" s="139"/>
      <c r="KH9" s="139"/>
      <c r="KI9" s="139"/>
      <c r="KJ9" s="139"/>
      <c r="KK9" s="139"/>
      <c r="KL9" s="139"/>
      <c r="KM9" s="139"/>
      <c r="KN9" s="139"/>
      <c r="KO9" s="139"/>
      <c r="KP9" s="139"/>
      <c r="KQ9" s="139"/>
      <c r="KR9" s="139"/>
      <c r="KS9" s="139"/>
      <c r="KT9" s="139"/>
      <c r="KU9" s="139"/>
      <c r="KV9" s="139"/>
      <c r="KW9" s="139"/>
      <c r="KX9" s="139"/>
      <c r="KY9" s="139"/>
      <c r="KZ9" s="139"/>
      <c r="LA9" s="139"/>
      <c r="LB9" s="139"/>
      <c r="LC9" s="139"/>
      <c r="LD9" s="139"/>
      <c r="LE9" s="139"/>
      <c r="LF9" s="139"/>
      <c r="LG9" s="139"/>
      <c r="LH9" s="139"/>
      <c r="LI9" s="139"/>
      <c r="LJ9" s="139"/>
      <c r="LK9" s="139"/>
      <c r="LL9" s="139"/>
      <c r="LM9" s="139"/>
      <c r="LN9" s="139"/>
      <c r="LO9" s="139"/>
      <c r="LP9" s="139"/>
      <c r="LQ9" s="139"/>
      <c r="LR9" s="139"/>
      <c r="LS9" s="139"/>
      <c r="LT9" s="139"/>
      <c r="LU9" s="139"/>
      <c r="LV9" s="139"/>
      <c r="LW9" s="139"/>
      <c r="LX9" s="139"/>
      <c r="LY9" s="139"/>
      <c r="LZ9" s="139"/>
      <c r="MA9" s="139"/>
      <c r="MB9" s="139"/>
      <c r="MC9" s="139"/>
      <c r="MD9" s="139"/>
      <c r="ME9" s="139"/>
      <c r="MF9" s="139"/>
      <c r="MG9" s="139"/>
      <c r="MH9" s="139"/>
      <c r="MI9" s="139"/>
      <c r="MJ9" s="139"/>
      <c r="MK9" s="139"/>
      <c r="ML9" s="139"/>
      <c r="MM9" s="139"/>
      <c r="MN9" s="139"/>
      <c r="MO9" s="139"/>
      <c r="MP9" s="139"/>
      <c r="MQ9" s="139"/>
      <c r="MR9" s="139"/>
      <c r="MS9" s="139"/>
      <c r="MT9" s="139"/>
      <c r="MU9" s="139"/>
      <c r="MV9" s="139"/>
      <c r="MW9" s="139"/>
      <c r="MX9" s="139"/>
      <c r="MY9" s="139"/>
      <c r="MZ9" s="139"/>
      <c r="NA9" s="139"/>
      <c r="NB9" s="139"/>
      <c r="NC9" s="139"/>
      <c r="ND9" s="139"/>
      <c r="NE9" s="139"/>
      <c r="NF9" s="139"/>
      <c r="NG9" s="139"/>
      <c r="NH9" s="139"/>
      <c r="NI9" s="139"/>
      <c r="NJ9" s="139"/>
      <c r="NK9" s="139"/>
      <c r="NL9" s="139"/>
      <c r="NM9" s="139"/>
      <c r="NN9" s="139"/>
      <c r="NO9" s="139"/>
      <c r="NP9" s="139"/>
      <c r="NQ9" s="139"/>
      <c r="NR9" s="139"/>
      <c r="NS9" s="139"/>
      <c r="NT9" s="139"/>
      <c r="NU9" s="139"/>
      <c r="NV9" s="139"/>
      <c r="NW9" s="139"/>
      <c r="NX9" s="139"/>
      <c r="NY9" s="139"/>
      <c r="NZ9" s="139"/>
      <c r="OA9" s="139"/>
      <c r="OB9" s="139"/>
      <c r="OC9" s="139"/>
      <c r="OD9" s="139"/>
      <c r="OE9" s="139"/>
      <c r="OF9" s="139"/>
      <c r="OG9" s="139"/>
      <c r="OH9" s="139"/>
      <c r="OI9" s="139"/>
      <c r="OJ9" s="139"/>
      <c r="OK9" s="139"/>
      <c r="OL9" s="139"/>
      <c r="OM9" s="139"/>
      <c r="ON9" s="139"/>
      <c r="OO9" s="139"/>
      <c r="OP9" s="139"/>
      <c r="OQ9" s="139"/>
      <c r="OR9" s="139"/>
      <c r="OS9" s="139"/>
      <c r="OT9" s="139"/>
      <c r="OU9" s="139"/>
      <c r="OV9" s="139"/>
      <c r="OW9" s="139"/>
      <c r="OX9" s="139"/>
      <c r="OY9" s="139"/>
      <c r="OZ9" s="139"/>
      <c r="PA9" s="139"/>
      <c r="PB9" s="139"/>
      <c r="PC9" s="139"/>
      <c r="PD9" s="139"/>
      <c r="PE9" s="139"/>
      <c r="PF9" s="139"/>
      <c r="PG9" s="139"/>
      <c r="PH9" s="139"/>
      <c r="PI9" s="139"/>
      <c r="PJ9" s="139"/>
      <c r="PK9" s="139"/>
      <c r="PL9" s="139"/>
      <c r="PM9" s="139"/>
      <c r="PN9" s="139"/>
      <c r="PO9" s="139"/>
      <c r="PP9" s="139"/>
      <c r="PQ9" s="139"/>
      <c r="PR9" s="139"/>
      <c r="PS9" s="139"/>
      <c r="PT9" s="139"/>
      <c r="PU9" s="139"/>
      <c r="PV9" s="139"/>
      <c r="PW9" s="139"/>
      <c r="PX9" s="139"/>
      <c r="PY9" s="139"/>
      <c r="PZ9" s="139"/>
      <c r="QA9" s="139"/>
      <c r="QB9" s="139"/>
      <c r="QC9" s="139"/>
      <c r="QD9" s="139"/>
      <c r="QE9" s="139"/>
      <c r="QF9" s="139"/>
      <c r="QG9" s="139"/>
      <c r="QH9" s="139"/>
      <c r="QI9" s="139"/>
      <c r="QJ9" s="139"/>
      <c r="QK9" s="139"/>
      <c r="QL9" s="139"/>
      <c r="QM9" s="139"/>
      <c r="QN9" s="139"/>
      <c r="QO9" s="139"/>
      <c r="QP9" s="139"/>
      <c r="QQ9" s="139"/>
      <c r="QR9" s="139"/>
      <c r="QS9" s="139"/>
      <c r="QT9" s="139"/>
      <c r="QU9" s="139"/>
      <c r="QV9" s="139"/>
      <c r="QW9" s="139"/>
      <c r="QX9" s="139"/>
      <c r="QY9" s="139"/>
      <c r="QZ9" s="139"/>
      <c r="RA9" s="139"/>
      <c r="RB9" s="139"/>
      <c r="RC9" s="139"/>
      <c r="RD9" s="139"/>
      <c r="RE9" s="139"/>
      <c r="RF9" s="139"/>
      <c r="RG9" s="139"/>
      <c r="RH9" s="139"/>
      <c r="RI9" s="139"/>
      <c r="RJ9" s="139"/>
      <c r="RK9" s="139"/>
      <c r="RL9" s="139"/>
      <c r="RM9" s="139"/>
      <c r="RN9" s="139"/>
      <c r="RO9" s="139"/>
      <c r="RP9" s="139"/>
      <c r="RQ9" s="139"/>
      <c r="RR9" s="139"/>
      <c r="RS9" s="139"/>
      <c r="RT9" s="139"/>
      <c r="RU9" s="139"/>
      <c r="RV9" s="139"/>
      <c r="RW9" s="139"/>
      <c r="RX9" s="139"/>
      <c r="RY9" s="139"/>
      <c r="RZ9" s="139"/>
      <c r="SA9" s="139"/>
      <c r="SB9" s="139"/>
      <c r="SC9" s="139"/>
      <c r="SD9" s="139"/>
      <c r="SE9" s="139"/>
      <c r="SF9" s="139"/>
      <c r="SG9" s="139"/>
      <c r="SH9" s="139"/>
      <c r="SI9" s="139"/>
      <c r="SJ9" s="139"/>
      <c r="SK9" s="139"/>
      <c r="SL9" s="139"/>
      <c r="SM9" s="139"/>
      <c r="SN9" s="139"/>
      <c r="SO9" s="139"/>
      <c r="SP9" s="139"/>
      <c r="SQ9" s="139"/>
      <c r="SR9" s="139"/>
      <c r="SS9" s="139"/>
      <c r="ST9" s="139"/>
      <c r="SU9" s="139"/>
      <c r="SV9" s="139"/>
      <c r="SW9" s="139"/>
      <c r="SX9" s="139"/>
      <c r="SY9" s="139"/>
      <c r="SZ9" s="139"/>
      <c r="TA9" s="139"/>
      <c r="TB9" s="139"/>
      <c r="TC9" s="139"/>
      <c r="TD9" s="139"/>
      <c r="TE9" s="139"/>
      <c r="TF9" s="139"/>
      <c r="TG9" s="139"/>
      <c r="TH9" s="139"/>
      <c r="TI9" s="139"/>
      <c r="TJ9" s="139"/>
      <c r="TK9" s="139"/>
      <c r="TL9" s="139"/>
      <c r="TM9" s="139"/>
      <c r="TN9" s="139"/>
      <c r="TO9" s="139"/>
      <c r="TP9" s="139"/>
      <c r="TQ9" s="139"/>
      <c r="TR9" s="139"/>
      <c r="TS9" s="139"/>
      <c r="TT9" s="139"/>
      <c r="TU9" s="139"/>
      <c r="TV9" s="139"/>
      <c r="TW9" s="139"/>
      <c r="TX9" s="139"/>
      <c r="TY9" s="139"/>
      <c r="TZ9" s="139"/>
      <c r="UA9" s="139"/>
      <c r="UB9" s="139"/>
      <c r="UC9" s="139"/>
      <c r="UD9" s="139"/>
      <c r="UE9" s="139"/>
      <c r="UF9" s="139"/>
      <c r="UG9" s="139"/>
      <c r="UH9" s="139"/>
      <c r="UI9" s="139"/>
      <c r="UJ9" s="139"/>
      <c r="UK9" s="139"/>
      <c r="UL9" s="139"/>
      <c r="UM9" s="139"/>
      <c r="UN9" s="139"/>
      <c r="UO9" s="139"/>
      <c r="UP9" s="139"/>
      <c r="UQ9" s="139"/>
      <c r="UR9" s="139"/>
      <c r="US9" s="139"/>
      <c r="UT9" s="139"/>
      <c r="UU9" s="139"/>
      <c r="UV9" s="139"/>
      <c r="UW9" s="139"/>
      <c r="UX9" s="139"/>
      <c r="UY9" s="139"/>
      <c r="UZ9" s="139"/>
      <c r="VA9" s="139"/>
      <c r="VB9" s="139"/>
      <c r="VC9" s="139"/>
      <c r="VD9" s="139"/>
      <c r="VE9" s="139"/>
      <c r="VF9" s="139"/>
      <c r="VG9" s="139"/>
      <c r="VH9" s="139"/>
      <c r="VI9" s="139"/>
      <c r="VJ9" s="139"/>
      <c r="VK9" s="139"/>
      <c r="VL9" s="139"/>
      <c r="VM9" s="139"/>
      <c r="VN9" s="139"/>
      <c r="VO9" s="139"/>
      <c r="VP9" s="139"/>
      <c r="VQ9" s="139"/>
      <c r="VR9" s="139"/>
      <c r="VS9" s="139"/>
      <c r="VT9" s="139"/>
      <c r="VU9" s="139"/>
      <c r="VV9" s="139"/>
      <c r="VW9" s="139"/>
      <c r="VX9" s="139"/>
      <c r="VY9" s="139"/>
      <c r="VZ9" s="139"/>
      <c r="WA9" s="139"/>
      <c r="WB9" s="139"/>
      <c r="WC9" s="139"/>
      <c r="WD9" s="139"/>
      <c r="WE9" s="139"/>
      <c r="WF9" s="139"/>
      <c r="WG9" s="139"/>
      <c r="WH9" s="139"/>
      <c r="WI9" s="139"/>
      <c r="WJ9" s="139"/>
      <c r="WK9" s="139"/>
      <c r="WL9" s="139"/>
      <c r="WM9" s="139"/>
      <c r="WN9" s="139"/>
      <c r="WO9" s="139"/>
      <c r="WP9" s="139"/>
      <c r="WQ9" s="139"/>
      <c r="WR9" s="139"/>
      <c r="WS9" s="139"/>
      <c r="WT9" s="139"/>
      <c r="WU9" s="139"/>
      <c r="WV9" s="139"/>
      <c r="WW9" s="139"/>
      <c r="WX9" s="139"/>
      <c r="WY9" s="139"/>
      <c r="WZ9" s="139"/>
      <c r="XA9" s="139"/>
      <c r="XB9" s="139"/>
      <c r="XC9" s="139"/>
      <c r="XD9" s="139"/>
      <c r="XE9" s="139"/>
      <c r="XF9" s="139"/>
      <c r="XG9" s="139"/>
      <c r="XH9" s="139"/>
      <c r="XI9" s="139"/>
      <c r="XJ9" s="139"/>
      <c r="XK9" s="139"/>
      <c r="XL9" s="139"/>
      <c r="XM9" s="139"/>
      <c r="XN9" s="139"/>
      <c r="XO9" s="139"/>
      <c r="XP9" s="139"/>
      <c r="XQ9" s="139"/>
      <c r="XR9" s="139"/>
      <c r="XS9" s="139"/>
      <c r="XT9" s="139"/>
      <c r="XU9" s="139"/>
      <c r="XV9" s="139"/>
      <c r="XW9" s="139"/>
      <c r="XX9" s="139"/>
      <c r="XY9" s="139"/>
      <c r="XZ9" s="139"/>
      <c r="YA9" s="139"/>
      <c r="YB9" s="139"/>
      <c r="YC9" s="139"/>
      <c r="YD9" s="139"/>
      <c r="YE9" s="139"/>
      <c r="YF9" s="139"/>
      <c r="YG9" s="139"/>
      <c r="YH9" s="139"/>
      <c r="YI9" s="139"/>
      <c r="YJ9" s="139"/>
      <c r="YK9" s="139"/>
      <c r="YL9" s="139"/>
      <c r="YM9" s="139"/>
      <c r="YN9" s="139"/>
      <c r="YO9" s="139"/>
      <c r="YP9" s="139"/>
      <c r="YQ9" s="139"/>
      <c r="YR9" s="139"/>
      <c r="YS9" s="139"/>
      <c r="YT9" s="139"/>
      <c r="YU9" s="139"/>
      <c r="YV9" s="139"/>
      <c r="YW9" s="139"/>
      <c r="YX9" s="139"/>
      <c r="YY9" s="139"/>
      <c r="YZ9" s="139"/>
      <c r="ZA9" s="139"/>
      <c r="ZB9" s="139"/>
      <c r="ZC9" s="139"/>
      <c r="ZD9" s="139"/>
      <c r="ZE9" s="139"/>
      <c r="ZF9" s="139"/>
      <c r="ZG9" s="139"/>
      <c r="ZH9" s="139"/>
      <c r="ZI9" s="139"/>
      <c r="ZJ9" s="139"/>
      <c r="ZK9" s="139"/>
      <c r="ZL9" s="139"/>
      <c r="ZM9" s="139"/>
      <c r="ZN9" s="139"/>
      <c r="ZO9" s="139"/>
      <c r="ZP9" s="139"/>
      <c r="ZQ9" s="139"/>
      <c r="ZR9" s="139"/>
      <c r="ZS9" s="139"/>
      <c r="ZT9" s="139"/>
      <c r="ZU9" s="139"/>
      <c r="ZV9" s="139"/>
      <c r="ZW9" s="139"/>
      <c r="ZX9" s="139"/>
      <c r="ZY9" s="139"/>
      <c r="ZZ9" s="139"/>
      <c r="AAA9" s="139"/>
      <c r="AAB9" s="139"/>
      <c r="AAC9" s="139"/>
      <c r="AAD9" s="139"/>
      <c r="AAE9" s="139"/>
      <c r="AAF9" s="139"/>
      <c r="AAG9" s="139"/>
      <c r="AAH9" s="139"/>
      <c r="AAI9" s="139"/>
      <c r="AAJ9" s="139"/>
      <c r="AAK9" s="139"/>
      <c r="AAL9" s="139"/>
      <c r="AAM9" s="139"/>
      <c r="AAN9" s="139"/>
      <c r="AAO9" s="139"/>
      <c r="AAP9" s="139"/>
      <c r="AAQ9" s="139"/>
      <c r="AAR9" s="139"/>
      <c r="AAS9" s="139"/>
      <c r="AAT9" s="139"/>
      <c r="AAU9" s="139"/>
      <c r="AAV9" s="139"/>
      <c r="AAW9" s="139"/>
      <c r="AAX9" s="139"/>
      <c r="AAY9" s="139"/>
      <c r="AAZ9" s="139"/>
      <c r="ABA9" s="139"/>
      <c r="ABB9" s="139"/>
      <c r="ABC9" s="139"/>
      <c r="ABD9" s="139"/>
      <c r="ABE9" s="139"/>
      <c r="ABF9" s="139"/>
      <c r="ABG9" s="139"/>
      <c r="ABH9" s="139"/>
      <c r="ABI9" s="139"/>
      <c r="ABJ9" s="139"/>
      <c r="ABK9" s="139"/>
      <c r="ABL9" s="139"/>
      <c r="ABM9" s="139"/>
      <c r="ABN9" s="139"/>
      <c r="ABO9" s="139"/>
      <c r="ABP9" s="139"/>
      <c r="ABQ9" s="139"/>
      <c r="ABR9" s="139"/>
      <c r="ABS9" s="139"/>
      <c r="ABT9" s="139"/>
      <c r="ABU9" s="139"/>
      <c r="ABV9" s="139"/>
      <c r="ABW9" s="139"/>
      <c r="ABX9" s="139"/>
      <c r="ABY9" s="139"/>
      <c r="ABZ9" s="139"/>
      <c r="ACA9" s="139"/>
      <c r="ACB9" s="139"/>
      <c r="ACC9" s="139"/>
      <c r="ACD9" s="139"/>
      <c r="ACE9" s="139"/>
      <c r="ACF9" s="139"/>
      <c r="ACG9" s="139"/>
      <c r="ACH9" s="139"/>
      <c r="ACI9" s="139"/>
      <c r="ACJ9" s="139"/>
      <c r="ACK9" s="139"/>
      <c r="ACL9" s="139"/>
      <c r="ACM9" s="139"/>
      <c r="ACN9" s="139"/>
      <c r="ACO9" s="139"/>
      <c r="ACP9" s="139"/>
      <c r="ACQ9" s="139"/>
      <c r="ACR9" s="139"/>
      <c r="ACS9" s="139"/>
      <c r="ACT9" s="139"/>
      <c r="ACU9" s="139"/>
      <c r="ACV9" s="139"/>
      <c r="ACW9" s="139"/>
      <c r="ACX9" s="139"/>
      <c r="ACY9" s="139"/>
      <c r="ACZ9" s="139"/>
      <c r="ADA9" s="139"/>
      <c r="ADB9" s="139"/>
      <c r="ADC9" s="139"/>
      <c r="ADD9" s="139"/>
      <c r="ADE9" s="139"/>
      <c r="ADF9" s="139"/>
      <c r="ADG9" s="139"/>
      <c r="ADH9" s="139"/>
      <c r="ADI9" s="139"/>
      <c r="ADJ9" s="139"/>
      <c r="ADK9" s="139"/>
      <c r="ADL9" s="139"/>
      <c r="ADM9" s="139"/>
      <c r="ADN9" s="139"/>
      <c r="ADO9" s="139"/>
      <c r="ADP9" s="139"/>
      <c r="ADQ9" s="139"/>
      <c r="ADR9" s="139"/>
      <c r="ADS9" s="139"/>
      <c r="ADT9" s="139"/>
      <c r="ADU9" s="139"/>
      <c r="ADV9" s="139"/>
      <c r="ADW9" s="139"/>
      <c r="ADX9" s="139"/>
      <c r="ADY9" s="139"/>
      <c r="ADZ9" s="139"/>
      <c r="AEA9" s="139"/>
      <c r="AEB9" s="139"/>
      <c r="AEC9" s="139"/>
      <c r="AED9" s="139"/>
      <c r="AEE9" s="139"/>
      <c r="AEF9" s="139"/>
      <c r="AEG9" s="139"/>
      <c r="AEH9" s="139"/>
      <c r="AEI9" s="139"/>
      <c r="AEJ9" s="139"/>
      <c r="AEK9" s="139"/>
      <c r="AEL9" s="139"/>
      <c r="AEM9" s="139"/>
      <c r="AEN9" s="139"/>
      <c r="AEO9" s="139"/>
      <c r="AEP9" s="139"/>
      <c r="AEQ9" s="139"/>
      <c r="AER9" s="139"/>
      <c r="AES9" s="139"/>
      <c r="AET9" s="139"/>
      <c r="AEU9" s="139"/>
      <c r="AEV9" s="139"/>
      <c r="AEW9" s="139"/>
      <c r="AEX9" s="139"/>
      <c r="AEY9" s="139"/>
      <c r="AEZ9" s="139"/>
      <c r="AFA9" s="139"/>
      <c r="AFB9" s="139"/>
      <c r="AFC9" s="139"/>
      <c r="AFD9" s="139"/>
      <c r="AFE9" s="139"/>
      <c r="AFF9" s="139"/>
      <c r="AFG9" s="139"/>
      <c r="AFH9" s="139"/>
      <c r="AFI9" s="139"/>
      <c r="AFJ9" s="139"/>
      <c r="AFK9" s="139"/>
      <c r="AFL9" s="139"/>
      <c r="AFM9" s="139"/>
      <c r="AFN9" s="139"/>
      <c r="AFO9" s="139"/>
      <c r="AFP9" s="139"/>
      <c r="AFQ9" s="139"/>
      <c r="AFR9" s="139"/>
      <c r="AFS9" s="139"/>
      <c r="AFT9" s="139"/>
      <c r="AFU9" s="139"/>
      <c r="AFV9" s="139"/>
      <c r="AFW9" s="139"/>
      <c r="AFX9" s="139"/>
      <c r="AFY9" s="139"/>
      <c r="AFZ9" s="139"/>
      <c r="AGA9" s="139"/>
      <c r="AGB9" s="139"/>
      <c r="AGC9" s="139"/>
      <c r="AGD9" s="139"/>
      <c r="AGE9" s="139"/>
      <c r="AGF9" s="139"/>
      <c r="AGG9" s="139"/>
      <c r="AGH9" s="139"/>
      <c r="AGI9" s="139"/>
      <c r="AGJ9" s="139"/>
      <c r="AGK9" s="139"/>
      <c r="AGL9" s="139"/>
      <c r="AGM9" s="139"/>
      <c r="AGN9" s="139"/>
      <c r="AGO9" s="139"/>
      <c r="AGP9" s="139"/>
      <c r="AGQ9" s="139"/>
      <c r="AGR9" s="139"/>
      <c r="AGS9" s="139"/>
      <c r="AGT9" s="139"/>
      <c r="AGU9" s="139"/>
      <c r="AGV9" s="139"/>
      <c r="AGW9" s="139"/>
      <c r="AGX9" s="139"/>
      <c r="AGY9" s="139"/>
      <c r="AGZ9" s="139"/>
      <c r="AHA9" s="139"/>
      <c r="AHB9" s="139"/>
      <c r="AHC9" s="139"/>
      <c r="AHD9" s="139"/>
      <c r="AHE9" s="139"/>
      <c r="AHF9" s="139"/>
      <c r="AHG9" s="139"/>
      <c r="AHH9" s="139"/>
      <c r="AHI9" s="139"/>
      <c r="AHJ9" s="139"/>
      <c r="AHK9" s="139"/>
      <c r="AHL9" s="139"/>
      <c r="AHM9" s="139"/>
      <c r="AHN9" s="139"/>
      <c r="AHO9" s="139"/>
      <c r="AHP9" s="139"/>
      <c r="AHQ9" s="139"/>
      <c r="AHR9" s="139"/>
      <c r="AHS9" s="139"/>
      <c r="AHT9" s="139"/>
      <c r="AHU9" s="139"/>
      <c r="AHV9" s="139"/>
      <c r="AHW9" s="139"/>
      <c r="AHX9" s="139"/>
      <c r="AHY9" s="139"/>
      <c r="AHZ9" s="139"/>
      <c r="AIA9" s="139"/>
      <c r="AIB9" s="139"/>
      <c r="AIC9" s="139"/>
      <c r="AID9" s="139"/>
      <c r="AIE9" s="139"/>
      <c r="AIF9" s="139"/>
      <c r="AIG9" s="139"/>
      <c r="AIH9" s="139"/>
      <c r="AII9" s="139"/>
      <c r="AIJ9" s="139"/>
      <c r="AIK9" s="139"/>
      <c r="AIL9" s="139"/>
      <c r="AIM9" s="139"/>
      <c r="AIN9" s="139"/>
      <c r="AIO9" s="139"/>
      <c r="AIP9" s="139"/>
      <c r="AIQ9" s="139"/>
      <c r="AIR9" s="139"/>
      <c r="AIS9" s="139"/>
      <c r="AIT9" s="139"/>
      <c r="AIU9" s="139"/>
      <c r="AIV9" s="139"/>
      <c r="AIW9" s="139"/>
      <c r="AIX9" s="139"/>
      <c r="AIY9" s="139"/>
      <c r="AIZ9" s="139"/>
      <c r="AJA9" s="139"/>
      <c r="AJB9" s="139"/>
      <c r="AJC9" s="139"/>
      <c r="AJD9" s="139"/>
      <c r="AJE9" s="139"/>
      <c r="AJF9" s="139"/>
      <c r="AJG9" s="139"/>
      <c r="AJH9" s="139"/>
      <c r="AJI9" s="139"/>
      <c r="AJJ9" s="139"/>
      <c r="AJK9" s="139"/>
      <c r="AJL9" s="139"/>
      <c r="AJM9" s="139"/>
      <c r="AJN9" s="139"/>
      <c r="AJO9" s="139"/>
      <c r="AJP9" s="139"/>
      <c r="AJQ9" s="139"/>
      <c r="AJR9" s="139"/>
      <c r="AJS9" s="139"/>
      <c r="AJT9" s="139"/>
      <c r="AJU9" s="139"/>
      <c r="AJV9" s="139"/>
      <c r="AJW9" s="139"/>
      <c r="AJX9" s="139"/>
      <c r="AJY9" s="139"/>
      <c r="AJZ9" s="139"/>
      <c r="AKA9" s="139"/>
      <c r="AKB9" s="139"/>
      <c r="AKC9" s="139"/>
      <c r="AKD9" s="139"/>
      <c r="AKE9" s="139"/>
      <c r="AKF9" s="139"/>
      <c r="AKG9" s="139"/>
      <c r="AKH9" s="139"/>
      <c r="AKI9" s="139"/>
      <c r="AKJ9" s="139"/>
      <c r="AKK9" s="139"/>
      <c r="AKL9" s="139"/>
      <c r="AKM9" s="139"/>
      <c r="AKN9" s="139"/>
      <c r="AKO9" s="139"/>
      <c r="AKP9" s="139"/>
      <c r="AKQ9" s="139"/>
      <c r="AKR9" s="139"/>
      <c r="AKS9" s="139"/>
      <c r="AKT9" s="139"/>
      <c r="AKU9" s="139"/>
      <c r="AKV9" s="139"/>
      <c r="AKW9" s="139"/>
      <c r="AKX9" s="139"/>
      <c r="AKY9" s="139"/>
      <c r="AKZ9" s="139"/>
      <c r="ALA9" s="139"/>
      <c r="ALB9" s="139"/>
      <c r="ALC9" s="139"/>
      <c r="ALD9" s="139"/>
      <c r="ALE9" s="139"/>
      <c r="ALF9" s="139"/>
      <c r="ALG9" s="139"/>
      <c r="ALH9" s="139"/>
      <c r="ALI9" s="139"/>
      <c r="ALJ9" s="139"/>
      <c r="ALK9" s="139"/>
      <c r="ALL9" s="139"/>
      <c r="ALM9" s="139"/>
      <c r="ALN9" s="139"/>
      <c r="ALO9" s="139"/>
      <c r="ALP9" s="139"/>
      <c r="ALQ9" s="139"/>
      <c r="ALR9" s="139"/>
      <c r="ALS9" s="139"/>
      <c r="ALT9" s="139"/>
      <c r="ALU9" s="139"/>
      <c r="ALV9" s="139"/>
      <c r="ALW9" s="139"/>
      <c r="ALX9" s="139"/>
      <c r="ALY9" s="139"/>
      <c r="ALZ9" s="139"/>
      <c r="AMA9" s="139"/>
      <c r="AMB9" s="139"/>
      <c r="AMC9" s="139"/>
      <c r="AMD9" s="139"/>
      <c r="AME9" s="139"/>
      <c r="AMF9" s="139"/>
    </row>
    <row r="10" spans="1:1024" s="140" customFormat="1" x14ac:dyDescent="0.25">
      <c r="A10" s="153" t="s">
        <v>8</v>
      </c>
      <c r="B10" s="154">
        <f ca="1">B9</f>
        <v>3</v>
      </c>
      <c r="C10" s="154">
        <f t="shared" ref="C10:K10" ca="1" si="11">C9*C12+C15</f>
        <v>57.779360000000004</v>
      </c>
      <c r="D10" s="154">
        <f t="shared" ca="1" si="11"/>
        <v>176.97298000000001</v>
      </c>
      <c r="E10" s="154">
        <f t="shared" ca="1" si="11"/>
        <v>0</v>
      </c>
      <c r="F10" s="154">
        <f t="shared" ca="1" si="11"/>
        <v>1</v>
      </c>
      <c r="G10" s="154">
        <f t="shared" ca="1" si="11"/>
        <v>4.4000000000000004</v>
      </c>
      <c r="H10" s="154">
        <f t="shared" ca="1" si="11"/>
        <v>49</v>
      </c>
      <c r="I10" s="154">
        <f t="shared" ca="1" si="11"/>
        <v>20</v>
      </c>
      <c r="J10" s="154">
        <f t="shared" ca="1" si="11"/>
        <v>0</v>
      </c>
      <c r="K10" s="154">
        <f t="shared" ca="1" si="11"/>
        <v>0</v>
      </c>
      <c r="L10" s="155" t="s">
        <v>9</v>
      </c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  <c r="DX10" s="139"/>
      <c r="DY10" s="139"/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139"/>
      <c r="ER10" s="139"/>
      <c r="ES10" s="139"/>
      <c r="ET10" s="139"/>
      <c r="EU10" s="139"/>
      <c r="EV10" s="139"/>
      <c r="EW10" s="139"/>
      <c r="EX10" s="139"/>
      <c r="EY10" s="139"/>
      <c r="EZ10" s="139"/>
      <c r="FA10" s="139"/>
      <c r="FB10" s="139"/>
      <c r="FC10" s="139"/>
      <c r="FD10" s="139"/>
      <c r="FE10" s="139"/>
      <c r="FF10" s="139"/>
      <c r="FG10" s="139"/>
      <c r="FH10" s="139"/>
      <c r="FI10" s="139"/>
      <c r="FJ10" s="139"/>
      <c r="FK10" s="139"/>
      <c r="FL10" s="139"/>
      <c r="FM10" s="139"/>
      <c r="FN10" s="139"/>
      <c r="FO10" s="139"/>
      <c r="FP10" s="139"/>
      <c r="FQ10" s="139"/>
      <c r="FR10" s="139"/>
      <c r="FS10" s="139"/>
      <c r="FT10" s="139"/>
      <c r="FU10" s="139"/>
      <c r="FV10" s="139"/>
      <c r="FW10" s="139"/>
      <c r="FX10" s="139"/>
      <c r="FY10" s="139"/>
      <c r="FZ10" s="139"/>
      <c r="GA10" s="139"/>
      <c r="GB10" s="139"/>
      <c r="GC10" s="139"/>
      <c r="GD10" s="139"/>
      <c r="GE10" s="139"/>
      <c r="GF10" s="139"/>
      <c r="GG10" s="139"/>
      <c r="GH10" s="139"/>
      <c r="GI10" s="139"/>
      <c r="GJ10" s="139"/>
      <c r="GK10" s="139"/>
      <c r="GL10" s="139"/>
      <c r="GM10" s="139"/>
      <c r="GN10" s="139"/>
      <c r="GO10" s="139"/>
      <c r="GP10" s="139"/>
      <c r="GQ10" s="139"/>
      <c r="GR10" s="139"/>
      <c r="GS10" s="139"/>
      <c r="GT10" s="139"/>
      <c r="GU10" s="139"/>
      <c r="GV10" s="139"/>
      <c r="GW10" s="139"/>
      <c r="GX10" s="139"/>
      <c r="GY10" s="139"/>
      <c r="GZ10" s="139"/>
      <c r="HA10" s="139"/>
      <c r="HB10" s="139"/>
      <c r="HC10" s="139"/>
      <c r="HD10" s="139"/>
      <c r="HE10" s="139"/>
      <c r="HF10" s="139"/>
      <c r="HG10" s="139"/>
      <c r="HH10" s="139"/>
      <c r="HI10" s="139"/>
      <c r="HJ10" s="139"/>
      <c r="HK10" s="139"/>
      <c r="HL10" s="139"/>
      <c r="HM10" s="139"/>
      <c r="HN10" s="139"/>
      <c r="HO10" s="139"/>
      <c r="HP10" s="139"/>
      <c r="HQ10" s="139"/>
      <c r="HR10" s="139"/>
      <c r="HS10" s="139"/>
      <c r="HT10" s="139"/>
      <c r="HU10" s="139"/>
      <c r="HV10" s="139"/>
      <c r="HW10" s="139"/>
      <c r="HX10" s="139"/>
      <c r="HY10" s="139"/>
      <c r="HZ10" s="139"/>
      <c r="IA10" s="139"/>
      <c r="IB10" s="139"/>
      <c r="IC10" s="139"/>
      <c r="ID10" s="139"/>
      <c r="IE10" s="139"/>
      <c r="IF10" s="139"/>
      <c r="IG10" s="139"/>
      <c r="IH10" s="139"/>
      <c r="II10" s="139"/>
      <c r="IJ10" s="139"/>
      <c r="IK10" s="139"/>
      <c r="IL10" s="139"/>
      <c r="IM10" s="139"/>
      <c r="IN10" s="139"/>
      <c r="IO10" s="139"/>
      <c r="IP10" s="139"/>
      <c r="IQ10" s="139"/>
      <c r="IR10" s="139"/>
      <c r="IS10" s="139"/>
      <c r="IT10" s="139"/>
      <c r="IU10" s="139"/>
      <c r="IV10" s="139"/>
      <c r="IW10" s="139"/>
      <c r="IX10" s="139"/>
      <c r="IY10" s="139"/>
      <c r="IZ10" s="139"/>
      <c r="JA10" s="139"/>
      <c r="JB10" s="139"/>
      <c r="JC10" s="139"/>
      <c r="JD10" s="139"/>
      <c r="JE10" s="139"/>
      <c r="JF10" s="139"/>
      <c r="JG10" s="139"/>
      <c r="JH10" s="139"/>
      <c r="JI10" s="139"/>
      <c r="JJ10" s="139"/>
      <c r="JK10" s="139"/>
      <c r="JL10" s="139"/>
      <c r="JM10" s="139"/>
      <c r="JN10" s="139"/>
      <c r="JO10" s="139"/>
      <c r="JP10" s="139"/>
      <c r="JQ10" s="139"/>
      <c r="JR10" s="139"/>
      <c r="JS10" s="139"/>
      <c r="JT10" s="139"/>
      <c r="JU10" s="139"/>
      <c r="JV10" s="139"/>
      <c r="JW10" s="139"/>
      <c r="JX10" s="139"/>
      <c r="JY10" s="139"/>
      <c r="JZ10" s="139"/>
      <c r="KA10" s="139"/>
      <c r="KB10" s="139"/>
      <c r="KC10" s="139"/>
      <c r="KD10" s="139"/>
      <c r="KE10" s="139"/>
      <c r="KF10" s="139"/>
      <c r="KG10" s="139"/>
      <c r="KH10" s="139"/>
      <c r="KI10" s="139"/>
      <c r="KJ10" s="139"/>
      <c r="KK10" s="139"/>
      <c r="KL10" s="139"/>
      <c r="KM10" s="139"/>
      <c r="KN10" s="139"/>
      <c r="KO10" s="139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39"/>
      <c r="LK10" s="139"/>
      <c r="LL10" s="139"/>
      <c r="LM10" s="139"/>
      <c r="LN10" s="139"/>
      <c r="LO10" s="139"/>
      <c r="LP10" s="139"/>
      <c r="LQ10" s="139"/>
      <c r="LR10" s="139"/>
      <c r="LS10" s="139"/>
      <c r="LT10" s="139"/>
      <c r="LU10" s="139"/>
      <c r="LV10" s="139"/>
      <c r="LW10" s="139"/>
      <c r="LX10" s="139"/>
      <c r="LY10" s="139"/>
      <c r="LZ10" s="139"/>
      <c r="MA10" s="139"/>
      <c r="MB10" s="139"/>
      <c r="MC10" s="139"/>
      <c r="MD10" s="139"/>
      <c r="ME10" s="139"/>
      <c r="MF10" s="139"/>
      <c r="MG10" s="139"/>
      <c r="MH10" s="139"/>
      <c r="MI10" s="139"/>
      <c r="MJ10" s="139"/>
      <c r="MK10" s="139"/>
      <c r="ML10" s="139"/>
      <c r="MM10" s="139"/>
      <c r="MN10" s="139"/>
      <c r="MO10" s="139"/>
      <c r="MP10" s="139"/>
      <c r="MQ10" s="139"/>
      <c r="MR10" s="139"/>
      <c r="MS10" s="139"/>
      <c r="MT10" s="139"/>
      <c r="MU10" s="139"/>
      <c r="MV10" s="139"/>
      <c r="MW10" s="139"/>
      <c r="MX10" s="139"/>
      <c r="MY10" s="139"/>
      <c r="MZ10" s="139"/>
      <c r="NA10" s="139"/>
      <c r="NB10" s="139"/>
      <c r="NC10" s="139"/>
      <c r="ND10" s="139"/>
      <c r="NE10" s="139"/>
      <c r="NF10" s="139"/>
      <c r="NG10" s="139"/>
      <c r="NH10" s="139"/>
      <c r="NI10" s="139"/>
      <c r="NJ10" s="139"/>
      <c r="NK10" s="139"/>
      <c r="NL10" s="139"/>
      <c r="NM10" s="139"/>
      <c r="NN10" s="139"/>
      <c r="NO10" s="139"/>
      <c r="NP10" s="139"/>
      <c r="NQ10" s="139"/>
      <c r="NR10" s="139"/>
      <c r="NS10" s="139"/>
      <c r="NT10" s="139"/>
      <c r="NU10" s="139"/>
      <c r="NV10" s="139"/>
      <c r="NW10" s="139"/>
      <c r="NX10" s="139"/>
      <c r="NY10" s="139"/>
      <c r="NZ10" s="139"/>
      <c r="OA10" s="139"/>
      <c r="OB10" s="139"/>
      <c r="OC10" s="139"/>
      <c r="OD10" s="139"/>
      <c r="OE10" s="139"/>
      <c r="OF10" s="139"/>
      <c r="OG10" s="139"/>
      <c r="OH10" s="139"/>
      <c r="OI10" s="139"/>
      <c r="OJ10" s="139"/>
      <c r="OK10" s="139"/>
      <c r="OL10" s="139"/>
      <c r="OM10" s="139"/>
      <c r="ON10" s="139"/>
      <c r="OO10" s="139"/>
      <c r="OP10" s="139"/>
      <c r="OQ10" s="139"/>
      <c r="OR10" s="139"/>
      <c r="OS10" s="139"/>
      <c r="OT10" s="139"/>
      <c r="OU10" s="139"/>
      <c r="OV10" s="139"/>
      <c r="OW10" s="139"/>
      <c r="OX10" s="139"/>
      <c r="OY10" s="139"/>
      <c r="OZ10" s="139"/>
      <c r="PA10" s="139"/>
      <c r="PB10" s="139"/>
      <c r="PC10" s="139"/>
      <c r="PD10" s="139"/>
      <c r="PE10" s="139"/>
      <c r="PF10" s="139"/>
      <c r="PG10" s="139"/>
      <c r="PH10" s="139"/>
      <c r="PI10" s="139"/>
      <c r="PJ10" s="139"/>
      <c r="PK10" s="139"/>
      <c r="PL10" s="139"/>
      <c r="PM10" s="139"/>
      <c r="PN10" s="139"/>
      <c r="PO10" s="139"/>
      <c r="PP10" s="139"/>
      <c r="PQ10" s="139"/>
      <c r="PR10" s="139"/>
      <c r="PS10" s="139"/>
      <c r="PT10" s="139"/>
      <c r="PU10" s="139"/>
      <c r="PV10" s="139"/>
      <c r="PW10" s="139"/>
      <c r="PX10" s="139"/>
      <c r="PY10" s="139"/>
      <c r="PZ10" s="139"/>
      <c r="QA10" s="139"/>
      <c r="QB10" s="139"/>
      <c r="QC10" s="139"/>
      <c r="QD10" s="139"/>
      <c r="QE10" s="139"/>
      <c r="QF10" s="139"/>
      <c r="QG10" s="139"/>
      <c r="QH10" s="139"/>
      <c r="QI10" s="139"/>
      <c r="QJ10" s="139"/>
      <c r="QK10" s="139"/>
      <c r="QL10" s="139"/>
      <c r="QM10" s="139"/>
      <c r="QN10" s="139"/>
      <c r="QO10" s="139"/>
      <c r="QP10" s="139"/>
      <c r="QQ10" s="139"/>
      <c r="QR10" s="139"/>
      <c r="QS10" s="139"/>
      <c r="QT10" s="139"/>
      <c r="QU10" s="139"/>
      <c r="QV10" s="139"/>
      <c r="QW10" s="139"/>
      <c r="QX10" s="139"/>
      <c r="QY10" s="139"/>
      <c r="QZ10" s="139"/>
      <c r="RA10" s="139"/>
      <c r="RB10" s="139"/>
      <c r="RC10" s="139"/>
      <c r="RD10" s="139"/>
      <c r="RE10" s="139"/>
      <c r="RF10" s="139"/>
      <c r="RG10" s="139"/>
      <c r="RH10" s="139"/>
      <c r="RI10" s="139"/>
      <c r="RJ10" s="139"/>
      <c r="RK10" s="139"/>
      <c r="RL10" s="139"/>
      <c r="RM10" s="139"/>
      <c r="RN10" s="139"/>
      <c r="RO10" s="139"/>
      <c r="RP10" s="139"/>
      <c r="RQ10" s="139"/>
      <c r="RR10" s="139"/>
      <c r="RS10" s="139"/>
      <c r="RT10" s="139"/>
      <c r="RU10" s="139"/>
      <c r="RV10" s="139"/>
      <c r="RW10" s="139"/>
      <c r="RX10" s="139"/>
      <c r="RY10" s="139"/>
      <c r="RZ10" s="139"/>
      <c r="SA10" s="139"/>
      <c r="SB10" s="139"/>
      <c r="SC10" s="139"/>
      <c r="SD10" s="139"/>
      <c r="SE10" s="139"/>
      <c r="SF10" s="139"/>
      <c r="SG10" s="139"/>
      <c r="SH10" s="139"/>
      <c r="SI10" s="139"/>
      <c r="SJ10" s="139"/>
      <c r="SK10" s="139"/>
      <c r="SL10" s="139"/>
      <c r="SM10" s="139"/>
      <c r="SN10" s="139"/>
      <c r="SO10" s="139"/>
      <c r="SP10" s="139"/>
      <c r="SQ10" s="139"/>
      <c r="SR10" s="139"/>
      <c r="SS10" s="139"/>
      <c r="ST10" s="139"/>
      <c r="SU10" s="139"/>
      <c r="SV10" s="139"/>
      <c r="SW10" s="139"/>
      <c r="SX10" s="139"/>
      <c r="SY10" s="139"/>
      <c r="SZ10" s="139"/>
      <c r="TA10" s="139"/>
      <c r="TB10" s="139"/>
      <c r="TC10" s="139"/>
      <c r="TD10" s="139"/>
      <c r="TE10" s="139"/>
      <c r="TF10" s="139"/>
      <c r="TG10" s="139"/>
      <c r="TH10" s="139"/>
      <c r="TI10" s="139"/>
      <c r="TJ10" s="139"/>
      <c r="TK10" s="139"/>
      <c r="TL10" s="139"/>
      <c r="TM10" s="139"/>
      <c r="TN10" s="139"/>
      <c r="TO10" s="139"/>
      <c r="TP10" s="139"/>
      <c r="TQ10" s="139"/>
      <c r="TR10" s="139"/>
      <c r="TS10" s="139"/>
      <c r="TT10" s="139"/>
      <c r="TU10" s="139"/>
      <c r="TV10" s="139"/>
      <c r="TW10" s="139"/>
      <c r="TX10" s="139"/>
      <c r="TY10" s="139"/>
      <c r="TZ10" s="139"/>
      <c r="UA10" s="139"/>
      <c r="UB10" s="139"/>
      <c r="UC10" s="139"/>
      <c r="UD10" s="139"/>
      <c r="UE10" s="139"/>
      <c r="UF10" s="139"/>
      <c r="UG10" s="139"/>
      <c r="UH10" s="139"/>
      <c r="UI10" s="139"/>
      <c r="UJ10" s="139"/>
      <c r="UK10" s="139"/>
      <c r="UL10" s="139"/>
      <c r="UM10" s="139"/>
      <c r="UN10" s="139"/>
      <c r="UO10" s="139"/>
      <c r="UP10" s="139"/>
      <c r="UQ10" s="139"/>
      <c r="UR10" s="139"/>
      <c r="US10" s="139"/>
      <c r="UT10" s="139"/>
      <c r="UU10" s="139"/>
      <c r="UV10" s="139"/>
      <c r="UW10" s="139"/>
      <c r="UX10" s="139"/>
      <c r="UY10" s="139"/>
      <c r="UZ10" s="139"/>
      <c r="VA10" s="139"/>
      <c r="VB10" s="139"/>
      <c r="VC10" s="139"/>
      <c r="VD10" s="139"/>
      <c r="VE10" s="139"/>
      <c r="VF10" s="139"/>
      <c r="VG10" s="139"/>
      <c r="VH10" s="139"/>
      <c r="VI10" s="139"/>
      <c r="VJ10" s="139"/>
      <c r="VK10" s="139"/>
      <c r="VL10" s="139"/>
      <c r="VM10" s="139"/>
      <c r="VN10" s="139"/>
      <c r="VO10" s="139"/>
      <c r="VP10" s="139"/>
      <c r="VQ10" s="139"/>
      <c r="VR10" s="139"/>
      <c r="VS10" s="139"/>
      <c r="VT10" s="139"/>
      <c r="VU10" s="139"/>
      <c r="VV10" s="139"/>
      <c r="VW10" s="139"/>
      <c r="VX10" s="139"/>
      <c r="VY10" s="139"/>
      <c r="VZ10" s="139"/>
      <c r="WA10" s="139"/>
      <c r="WB10" s="139"/>
      <c r="WC10" s="139"/>
      <c r="WD10" s="139"/>
      <c r="WE10" s="139"/>
      <c r="WF10" s="139"/>
      <c r="WG10" s="139"/>
      <c r="WH10" s="139"/>
      <c r="WI10" s="139"/>
      <c r="WJ10" s="139"/>
      <c r="WK10" s="139"/>
      <c r="WL10" s="139"/>
      <c r="WM10" s="139"/>
      <c r="WN10" s="139"/>
      <c r="WO10" s="139"/>
      <c r="WP10" s="139"/>
      <c r="WQ10" s="139"/>
      <c r="WR10" s="139"/>
      <c r="WS10" s="139"/>
      <c r="WT10" s="139"/>
      <c r="WU10" s="139"/>
      <c r="WV10" s="139"/>
      <c r="WW10" s="139"/>
      <c r="WX10" s="139"/>
      <c r="WY10" s="139"/>
      <c r="WZ10" s="139"/>
      <c r="XA10" s="139"/>
      <c r="XB10" s="139"/>
      <c r="XC10" s="139"/>
      <c r="XD10" s="139"/>
      <c r="XE10" s="139"/>
      <c r="XF10" s="139"/>
      <c r="XG10" s="139"/>
      <c r="XH10" s="139"/>
      <c r="XI10" s="139"/>
      <c r="XJ10" s="139"/>
      <c r="XK10" s="139"/>
      <c r="XL10" s="139"/>
      <c r="XM10" s="139"/>
      <c r="XN10" s="139"/>
      <c r="XO10" s="139"/>
      <c r="XP10" s="139"/>
      <c r="XQ10" s="139"/>
      <c r="XR10" s="139"/>
      <c r="XS10" s="139"/>
      <c r="XT10" s="139"/>
      <c r="XU10" s="139"/>
      <c r="XV10" s="139"/>
      <c r="XW10" s="139"/>
      <c r="XX10" s="139"/>
      <c r="XY10" s="139"/>
      <c r="XZ10" s="139"/>
      <c r="YA10" s="139"/>
      <c r="YB10" s="139"/>
      <c r="YC10" s="139"/>
      <c r="YD10" s="139"/>
      <c r="YE10" s="139"/>
      <c r="YF10" s="139"/>
      <c r="YG10" s="139"/>
      <c r="YH10" s="139"/>
      <c r="YI10" s="139"/>
      <c r="YJ10" s="139"/>
      <c r="YK10" s="139"/>
      <c r="YL10" s="139"/>
      <c r="YM10" s="139"/>
      <c r="YN10" s="139"/>
      <c r="YO10" s="139"/>
      <c r="YP10" s="139"/>
      <c r="YQ10" s="139"/>
      <c r="YR10" s="139"/>
      <c r="YS10" s="139"/>
      <c r="YT10" s="139"/>
      <c r="YU10" s="139"/>
      <c r="YV10" s="139"/>
      <c r="YW10" s="139"/>
      <c r="YX10" s="139"/>
      <c r="YY10" s="139"/>
      <c r="YZ10" s="139"/>
      <c r="ZA10" s="139"/>
      <c r="ZB10" s="139"/>
      <c r="ZC10" s="139"/>
      <c r="ZD10" s="139"/>
      <c r="ZE10" s="139"/>
      <c r="ZF10" s="139"/>
      <c r="ZG10" s="139"/>
      <c r="ZH10" s="139"/>
      <c r="ZI10" s="139"/>
      <c r="ZJ10" s="139"/>
      <c r="ZK10" s="139"/>
      <c r="ZL10" s="139"/>
      <c r="ZM10" s="139"/>
      <c r="ZN10" s="139"/>
      <c r="ZO10" s="139"/>
      <c r="ZP10" s="139"/>
      <c r="ZQ10" s="139"/>
      <c r="ZR10" s="139"/>
      <c r="ZS10" s="139"/>
      <c r="ZT10" s="139"/>
      <c r="ZU10" s="139"/>
      <c r="ZV10" s="139"/>
      <c r="ZW10" s="139"/>
      <c r="ZX10" s="139"/>
      <c r="ZY10" s="139"/>
      <c r="ZZ10" s="139"/>
      <c r="AAA10" s="139"/>
      <c r="AAB10" s="139"/>
      <c r="AAC10" s="139"/>
      <c r="AAD10" s="139"/>
      <c r="AAE10" s="139"/>
      <c r="AAF10" s="139"/>
      <c r="AAG10" s="139"/>
      <c r="AAH10" s="139"/>
      <c r="AAI10" s="139"/>
      <c r="AAJ10" s="139"/>
      <c r="AAK10" s="139"/>
      <c r="AAL10" s="139"/>
      <c r="AAM10" s="139"/>
      <c r="AAN10" s="139"/>
      <c r="AAO10" s="139"/>
      <c r="AAP10" s="139"/>
      <c r="AAQ10" s="139"/>
      <c r="AAR10" s="139"/>
      <c r="AAS10" s="139"/>
      <c r="AAT10" s="139"/>
      <c r="AAU10" s="139"/>
      <c r="AAV10" s="139"/>
      <c r="AAW10" s="139"/>
      <c r="AAX10" s="139"/>
      <c r="AAY10" s="139"/>
      <c r="AAZ10" s="139"/>
      <c r="ABA10" s="139"/>
      <c r="ABB10" s="139"/>
      <c r="ABC10" s="139"/>
      <c r="ABD10" s="139"/>
      <c r="ABE10" s="139"/>
      <c r="ABF10" s="139"/>
      <c r="ABG10" s="139"/>
      <c r="ABH10" s="139"/>
      <c r="ABI10" s="139"/>
      <c r="ABJ10" s="139"/>
      <c r="ABK10" s="139"/>
      <c r="ABL10" s="139"/>
      <c r="ABM10" s="139"/>
      <c r="ABN10" s="139"/>
      <c r="ABO10" s="139"/>
      <c r="ABP10" s="139"/>
      <c r="ABQ10" s="139"/>
      <c r="ABR10" s="139"/>
      <c r="ABS10" s="139"/>
      <c r="ABT10" s="139"/>
      <c r="ABU10" s="139"/>
      <c r="ABV10" s="139"/>
      <c r="ABW10" s="139"/>
      <c r="ABX10" s="139"/>
      <c r="ABY10" s="139"/>
      <c r="ABZ10" s="139"/>
      <c r="ACA10" s="139"/>
      <c r="ACB10" s="139"/>
      <c r="ACC10" s="139"/>
      <c r="ACD10" s="139"/>
      <c r="ACE10" s="139"/>
      <c r="ACF10" s="139"/>
      <c r="ACG10" s="139"/>
      <c r="ACH10" s="139"/>
      <c r="ACI10" s="139"/>
      <c r="ACJ10" s="139"/>
      <c r="ACK10" s="139"/>
      <c r="ACL10" s="139"/>
      <c r="ACM10" s="139"/>
      <c r="ACN10" s="139"/>
      <c r="ACO10" s="139"/>
      <c r="ACP10" s="139"/>
      <c r="ACQ10" s="139"/>
      <c r="ACR10" s="139"/>
      <c r="ACS10" s="139"/>
      <c r="ACT10" s="139"/>
      <c r="ACU10" s="139"/>
      <c r="ACV10" s="139"/>
      <c r="ACW10" s="139"/>
      <c r="ACX10" s="139"/>
      <c r="ACY10" s="139"/>
      <c r="ACZ10" s="139"/>
      <c r="ADA10" s="139"/>
      <c r="ADB10" s="139"/>
      <c r="ADC10" s="139"/>
      <c r="ADD10" s="139"/>
      <c r="ADE10" s="139"/>
      <c r="ADF10" s="139"/>
      <c r="ADG10" s="139"/>
      <c r="ADH10" s="139"/>
      <c r="ADI10" s="139"/>
      <c r="ADJ10" s="139"/>
      <c r="ADK10" s="139"/>
      <c r="ADL10" s="139"/>
      <c r="ADM10" s="139"/>
      <c r="ADN10" s="139"/>
      <c r="ADO10" s="139"/>
      <c r="ADP10" s="139"/>
      <c r="ADQ10" s="139"/>
      <c r="ADR10" s="139"/>
      <c r="ADS10" s="139"/>
      <c r="ADT10" s="139"/>
      <c r="ADU10" s="139"/>
      <c r="ADV10" s="139"/>
      <c r="ADW10" s="139"/>
      <c r="ADX10" s="139"/>
      <c r="ADY10" s="139"/>
      <c r="ADZ10" s="139"/>
      <c r="AEA10" s="139"/>
      <c r="AEB10" s="139"/>
      <c r="AEC10" s="139"/>
      <c r="AED10" s="139"/>
      <c r="AEE10" s="139"/>
      <c r="AEF10" s="139"/>
      <c r="AEG10" s="139"/>
      <c r="AEH10" s="139"/>
      <c r="AEI10" s="139"/>
      <c r="AEJ10" s="139"/>
      <c r="AEK10" s="139"/>
      <c r="AEL10" s="139"/>
      <c r="AEM10" s="139"/>
      <c r="AEN10" s="139"/>
      <c r="AEO10" s="139"/>
      <c r="AEP10" s="139"/>
      <c r="AEQ10" s="139"/>
      <c r="AER10" s="139"/>
      <c r="AES10" s="139"/>
      <c r="AET10" s="139"/>
      <c r="AEU10" s="139"/>
      <c r="AEV10" s="139"/>
      <c r="AEW10" s="139"/>
      <c r="AEX10" s="139"/>
      <c r="AEY10" s="139"/>
      <c r="AEZ10" s="139"/>
      <c r="AFA10" s="139"/>
      <c r="AFB10" s="139"/>
      <c r="AFC10" s="139"/>
      <c r="AFD10" s="139"/>
      <c r="AFE10" s="139"/>
      <c r="AFF10" s="139"/>
      <c r="AFG10" s="139"/>
      <c r="AFH10" s="139"/>
      <c r="AFI10" s="139"/>
      <c r="AFJ10" s="139"/>
      <c r="AFK10" s="139"/>
      <c r="AFL10" s="139"/>
      <c r="AFM10" s="139"/>
      <c r="AFN10" s="139"/>
      <c r="AFO10" s="139"/>
      <c r="AFP10" s="139"/>
      <c r="AFQ10" s="139"/>
      <c r="AFR10" s="139"/>
      <c r="AFS10" s="139"/>
      <c r="AFT10" s="139"/>
      <c r="AFU10" s="139"/>
      <c r="AFV10" s="139"/>
      <c r="AFW10" s="139"/>
      <c r="AFX10" s="139"/>
      <c r="AFY10" s="139"/>
      <c r="AFZ10" s="139"/>
      <c r="AGA10" s="139"/>
      <c r="AGB10" s="139"/>
      <c r="AGC10" s="139"/>
      <c r="AGD10" s="139"/>
      <c r="AGE10" s="139"/>
      <c r="AGF10" s="139"/>
      <c r="AGG10" s="139"/>
      <c r="AGH10" s="139"/>
      <c r="AGI10" s="139"/>
      <c r="AGJ10" s="139"/>
      <c r="AGK10" s="139"/>
      <c r="AGL10" s="139"/>
      <c r="AGM10" s="139"/>
      <c r="AGN10" s="139"/>
      <c r="AGO10" s="139"/>
      <c r="AGP10" s="139"/>
      <c r="AGQ10" s="139"/>
      <c r="AGR10" s="139"/>
      <c r="AGS10" s="139"/>
      <c r="AGT10" s="139"/>
      <c r="AGU10" s="139"/>
      <c r="AGV10" s="139"/>
      <c r="AGW10" s="139"/>
      <c r="AGX10" s="139"/>
      <c r="AGY10" s="139"/>
      <c r="AGZ10" s="139"/>
      <c r="AHA10" s="139"/>
      <c r="AHB10" s="139"/>
      <c r="AHC10" s="139"/>
      <c r="AHD10" s="139"/>
      <c r="AHE10" s="139"/>
      <c r="AHF10" s="139"/>
      <c r="AHG10" s="139"/>
      <c r="AHH10" s="139"/>
      <c r="AHI10" s="139"/>
      <c r="AHJ10" s="139"/>
      <c r="AHK10" s="139"/>
      <c r="AHL10" s="139"/>
      <c r="AHM10" s="139"/>
      <c r="AHN10" s="139"/>
      <c r="AHO10" s="139"/>
      <c r="AHP10" s="139"/>
      <c r="AHQ10" s="139"/>
      <c r="AHR10" s="139"/>
      <c r="AHS10" s="139"/>
      <c r="AHT10" s="139"/>
      <c r="AHU10" s="139"/>
      <c r="AHV10" s="139"/>
      <c r="AHW10" s="139"/>
      <c r="AHX10" s="139"/>
      <c r="AHY10" s="139"/>
      <c r="AHZ10" s="139"/>
      <c r="AIA10" s="139"/>
      <c r="AIB10" s="139"/>
      <c r="AIC10" s="139"/>
      <c r="AID10" s="139"/>
      <c r="AIE10" s="139"/>
      <c r="AIF10" s="139"/>
      <c r="AIG10" s="139"/>
      <c r="AIH10" s="139"/>
      <c r="AII10" s="139"/>
      <c r="AIJ10" s="139"/>
      <c r="AIK10" s="139"/>
      <c r="AIL10" s="139"/>
      <c r="AIM10" s="139"/>
      <c r="AIN10" s="139"/>
      <c r="AIO10" s="139"/>
      <c r="AIP10" s="139"/>
      <c r="AIQ10" s="139"/>
      <c r="AIR10" s="139"/>
      <c r="AIS10" s="139"/>
      <c r="AIT10" s="139"/>
      <c r="AIU10" s="139"/>
      <c r="AIV10" s="139"/>
      <c r="AIW10" s="139"/>
      <c r="AIX10" s="139"/>
      <c r="AIY10" s="139"/>
      <c r="AIZ10" s="139"/>
      <c r="AJA10" s="139"/>
      <c r="AJB10" s="139"/>
      <c r="AJC10" s="139"/>
      <c r="AJD10" s="139"/>
      <c r="AJE10" s="139"/>
      <c r="AJF10" s="139"/>
      <c r="AJG10" s="139"/>
      <c r="AJH10" s="139"/>
      <c r="AJI10" s="139"/>
      <c r="AJJ10" s="139"/>
      <c r="AJK10" s="139"/>
      <c r="AJL10" s="139"/>
      <c r="AJM10" s="139"/>
      <c r="AJN10" s="139"/>
      <c r="AJO10" s="139"/>
      <c r="AJP10" s="139"/>
      <c r="AJQ10" s="139"/>
      <c r="AJR10" s="139"/>
      <c r="AJS10" s="139"/>
      <c r="AJT10" s="139"/>
      <c r="AJU10" s="139"/>
      <c r="AJV10" s="139"/>
      <c r="AJW10" s="139"/>
      <c r="AJX10" s="139"/>
      <c r="AJY10" s="139"/>
      <c r="AJZ10" s="139"/>
      <c r="AKA10" s="139"/>
      <c r="AKB10" s="139"/>
      <c r="AKC10" s="139"/>
      <c r="AKD10" s="139"/>
      <c r="AKE10" s="139"/>
      <c r="AKF10" s="139"/>
      <c r="AKG10" s="139"/>
      <c r="AKH10" s="139"/>
      <c r="AKI10" s="139"/>
      <c r="AKJ10" s="139"/>
      <c r="AKK10" s="139"/>
      <c r="AKL10" s="139"/>
      <c r="AKM10" s="139"/>
      <c r="AKN10" s="139"/>
      <c r="AKO10" s="139"/>
      <c r="AKP10" s="139"/>
      <c r="AKQ10" s="139"/>
      <c r="AKR10" s="139"/>
      <c r="AKS10" s="139"/>
      <c r="AKT10" s="139"/>
      <c r="AKU10" s="139"/>
      <c r="AKV10" s="139"/>
      <c r="AKW10" s="139"/>
      <c r="AKX10" s="139"/>
      <c r="AKY10" s="139"/>
      <c r="AKZ10" s="139"/>
      <c r="ALA10" s="139"/>
      <c r="ALB10" s="139"/>
      <c r="ALC10" s="139"/>
      <c r="ALD10" s="139"/>
      <c r="ALE10" s="139"/>
      <c r="ALF10" s="139"/>
      <c r="ALG10" s="139"/>
      <c r="ALH10" s="139"/>
      <c r="ALI10" s="139"/>
      <c r="ALJ10" s="139"/>
      <c r="ALK10" s="139"/>
      <c r="ALL10" s="139"/>
      <c r="ALM10" s="139"/>
      <c r="ALN10" s="139"/>
      <c r="ALO10" s="139"/>
      <c r="ALP10" s="139"/>
      <c r="ALQ10" s="139"/>
      <c r="ALR10" s="139"/>
      <c r="ALS10" s="139"/>
      <c r="ALT10" s="139"/>
      <c r="ALU10" s="139"/>
      <c r="ALV10" s="139"/>
      <c r="ALW10" s="139"/>
      <c r="ALX10" s="139"/>
      <c r="ALY10" s="139"/>
      <c r="ALZ10" s="139"/>
      <c r="AMA10" s="139"/>
      <c r="AMB10" s="139"/>
      <c r="AMC10" s="139"/>
      <c r="AMD10" s="139"/>
      <c r="AME10" s="139"/>
      <c r="AMF10" s="139"/>
    </row>
    <row r="11" spans="1:1024" s="140" customFormat="1" x14ac:dyDescent="0.25">
      <c r="A11" s="156" t="s">
        <v>10</v>
      </c>
      <c r="B11" s="157" t="s">
        <v>11</v>
      </c>
      <c r="C11" s="157" t="s">
        <v>13</v>
      </c>
      <c r="D11" s="157" t="s">
        <v>13</v>
      </c>
      <c r="E11" s="157" t="s">
        <v>44</v>
      </c>
      <c r="F11" s="157" t="s">
        <v>45</v>
      </c>
      <c r="G11" s="157" t="s">
        <v>46</v>
      </c>
      <c r="H11" s="157" t="s">
        <v>13</v>
      </c>
      <c r="I11" s="157" t="s">
        <v>13</v>
      </c>
      <c r="J11" s="157" t="s">
        <v>13</v>
      </c>
      <c r="K11" s="157" t="s">
        <v>14</v>
      </c>
      <c r="L11" s="15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  <c r="AMF11" s="139"/>
    </row>
    <row r="12" spans="1:1024" s="140" customFormat="1" x14ac:dyDescent="0.25">
      <c r="A12" s="160" t="s">
        <v>15</v>
      </c>
      <c r="B12" s="100">
        <v>1</v>
      </c>
      <c r="C12" s="100">
        <v>1.0000000000000001E-5</v>
      </c>
      <c r="D12" s="100">
        <v>1.0000000000000001E-5</v>
      </c>
      <c r="E12" s="100">
        <v>1</v>
      </c>
      <c r="F12" s="100">
        <v>1</v>
      </c>
      <c r="G12" s="100">
        <v>0.1</v>
      </c>
      <c r="H12" s="100">
        <v>0.25</v>
      </c>
      <c r="I12" s="100">
        <v>0.25</v>
      </c>
      <c r="J12" s="100">
        <v>0.25</v>
      </c>
      <c r="K12" s="100">
        <v>1</v>
      </c>
      <c r="L12" s="161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  <c r="DX12" s="139"/>
      <c r="DY12" s="139"/>
      <c r="DZ12" s="139"/>
      <c r="EA12" s="139"/>
      <c r="EB12" s="139"/>
      <c r="EC12" s="139"/>
      <c r="ED12" s="139"/>
      <c r="EE12" s="139"/>
      <c r="EF12" s="139"/>
      <c r="EG12" s="139"/>
      <c r="EH12" s="139"/>
      <c r="EI12" s="139"/>
      <c r="EJ12" s="139"/>
      <c r="EK12" s="139"/>
      <c r="EL12" s="139"/>
      <c r="EM12" s="139"/>
      <c r="EN12" s="139"/>
      <c r="EO12" s="139"/>
      <c r="EP12" s="139"/>
      <c r="EQ12" s="139"/>
      <c r="ER12" s="139"/>
      <c r="ES12" s="139"/>
      <c r="ET12" s="139"/>
      <c r="EU12" s="139"/>
      <c r="EV12" s="139"/>
      <c r="EW12" s="139"/>
      <c r="EX12" s="139"/>
      <c r="EY12" s="139"/>
      <c r="EZ12" s="139"/>
      <c r="FA12" s="139"/>
      <c r="FB12" s="139"/>
      <c r="FC12" s="139"/>
      <c r="FD12" s="139"/>
      <c r="FE12" s="139"/>
      <c r="FF12" s="139"/>
      <c r="FG12" s="139"/>
      <c r="FH12" s="139"/>
      <c r="FI12" s="139"/>
      <c r="FJ12" s="139"/>
      <c r="FK12" s="139"/>
      <c r="FL12" s="139"/>
      <c r="FM12" s="139"/>
      <c r="FN12" s="139"/>
      <c r="FO12" s="139"/>
      <c r="FP12" s="139"/>
      <c r="FQ12" s="139"/>
      <c r="FR12" s="139"/>
      <c r="FS12" s="139"/>
      <c r="FT12" s="139"/>
      <c r="FU12" s="139"/>
      <c r="FV12" s="139"/>
      <c r="FW12" s="139"/>
      <c r="FX12" s="139"/>
      <c r="FY12" s="139"/>
      <c r="FZ12" s="139"/>
      <c r="GA12" s="139"/>
      <c r="GB12" s="139"/>
      <c r="GC12" s="139"/>
      <c r="GD12" s="139"/>
      <c r="GE12" s="139"/>
      <c r="GF12" s="139"/>
      <c r="GG12" s="139"/>
      <c r="GH12" s="139"/>
      <c r="GI12" s="139"/>
      <c r="GJ12" s="139"/>
      <c r="GK12" s="139"/>
      <c r="GL12" s="139"/>
      <c r="GM12" s="139"/>
      <c r="GN12" s="139"/>
      <c r="GO12" s="139"/>
      <c r="GP12" s="139"/>
      <c r="GQ12" s="139"/>
      <c r="GR12" s="139"/>
      <c r="GS12" s="139"/>
      <c r="GT12" s="139"/>
      <c r="GU12" s="139"/>
      <c r="GV12" s="139"/>
      <c r="GW12" s="139"/>
      <c r="GX12" s="139"/>
      <c r="GY12" s="139"/>
      <c r="GZ12" s="139"/>
      <c r="HA12" s="139"/>
      <c r="HB12" s="139"/>
      <c r="HC12" s="139"/>
      <c r="HD12" s="139"/>
      <c r="HE12" s="139"/>
      <c r="HF12" s="139"/>
      <c r="HG12" s="139"/>
      <c r="HH12" s="139"/>
      <c r="HI12" s="139"/>
      <c r="HJ12" s="139"/>
      <c r="HK12" s="139"/>
      <c r="HL12" s="139"/>
      <c r="HM12" s="139"/>
      <c r="HN12" s="139"/>
      <c r="HO12" s="139"/>
      <c r="HP12" s="139"/>
      <c r="HQ12" s="139"/>
      <c r="HR12" s="139"/>
      <c r="HS12" s="139"/>
      <c r="HT12" s="139"/>
      <c r="HU12" s="139"/>
      <c r="HV12" s="139"/>
      <c r="HW12" s="139"/>
      <c r="HX12" s="139"/>
      <c r="HY12" s="139"/>
      <c r="HZ12" s="139"/>
      <c r="IA12" s="139"/>
      <c r="IB12" s="139"/>
      <c r="IC12" s="139"/>
      <c r="ID12" s="139"/>
      <c r="IE12" s="139"/>
      <c r="IF12" s="139"/>
      <c r="IG12" s="139"/>
      <c r="IH12" s="139"/>
      <c r="II12" s="139"/>
      <c r="IJ12" s="139"/>
      <c r="IK12" s="139"/>
      <c r="IL12" s="139"/>
      <c r="IM12" s="139"/>
      <c r="IN12" s="139"/>
      <c r="IO12" s="139"/>
      <c r="IP12" s="139"/>
      <c r="IQ12" s="139"/>
      <c r="IR12" s="139"/>
      <c r="IS12" s="139"/>
      <c r="IT12" s="139"/>
      <c r="IU12" s="139"/>
      <c r="IV12" s="139"/>
      <c r="IW12" s="139"/>
      <c r="IX12" s="139"/>
      <c r="IY12" s="139"/>
      <c r="IZ12" s="139"/>
      <c r="JA12" s="139"/>
      <c r="JB12" s="139"/>
      <c r="JC12" s="139"/>
      <c r="JD12" s="139"/>
      <c r="JE12" s="139"/>
      <c r="JF12" s="139"/>
      <c r="JG12" s="139"/>
      <c r="JH12" s="139"/>
      <c r="JI12" s="139"/>
      <c r="JJ12" s="139"/>
      <c r="JK12" s="139"/>
      <c r="JL12" s="139"/>
      <c r="JM12" s="139"/>
      <c r="JN12" s="139"/>
      <c r="JO12" s="139"/>
      <c r="JP12" s="139"/>
      <c r="JQ12" s="139"/>
      <c r="JR12" s="139"/>
      <c r="JS12" s="139"/>
      <c r="JT12" s="139"/>
      <c r="JU12" s="139"/>
      <c r="JV12" s="139"/>
      <c r="JW12" s="139"/>
      <c r="JX12" s="139"/>
      <c r="JY12" s="139"/>
      <c r="JZ12" s="139"/>
      <c r="KA12" s="139"/>
      <c r="KB12" s="139"/>
      <c r="KC12" s="139"/>
      <c r="KD12" s="139"/>
      <c r="KE12" s="139"/>
      <c r="KF12" s="139"/>
      <c r="KG12" s="139"/>
      <c r="KH12" s="139"/>
      <c r="KI12" s="139"/>
      <c r="KJ12" s="139"/>
      <c r="KK12" s="139"/>
      <c r="KL12" s="139"/>
      <c r="KM12" s="139"/>
      <c r="KN12" s="139"/>
      <c r="KO12" s="139"/>
      <c r="KP12" s="139"/>
      <c r="KQ12" s="139"/>
      <c r="KR12" s="139"/>
      <c r="KS12" s="139"/>
      <c r="KT12" s="139"/>
      <c r="KU12" s="139"/>
      <c r="KV12" s="139"/>
      <c r="KW12" s="139"/>
      <c r="KX12" s="139"/>
      <c r="KY12" s="139"/>
      <c r="KZ12" s="139"/>
      <c r="LA12" s="139"/>
      <c r="LB12" s="139"/>
      <c r="LC12" s="139"/>
      <c r="LD12" s="139"/>
      <c r="LE12" s="139"/>
      <c r="LF12" s="139"/>
      <c r="LG12" s="139"/>
      <c r="LH12" s="139"/>
      <c r="LI12" s="139"/>
      <c r="LJ12" s="139"/>
      <c r="LK12" s="139"/>
      <c r="LL12" s="139"/>
      <c r="LM12" s="139"/>
      <c r="LN12" s="139"/>
      <c r="LO12" s="139"/>
      <c r="LP12" s="139"/>
      <c r="LQ12" s="139"/>
      <c r="LR12" s="139"/>
      <c r="LS12" s="139"/>
      <c r="LT12" s="139"/>
      <c r="LU12" s="139"/>
      <c r="LV12" s="139"/>
      <c r="LW12" s="139"/>
      <c r="LX12" s="139"/>
      <c r="LY12" s="139"/>
      <c r="LZ12" s="139"/>
      <c r="MA12" s="139"/>
      <c r="MB12" s="139"/>
      <c r="MC12" s="139"/>
      <c r="MD12" s="139"/>
      <c r="ME12" s="139"/>
      <c r="MF12" s="139"/>
      <c r="MG12" s="139"/>
      <c r="MH12" s="139"/>
      <c r="MI12" s="139"/>
      <c r="MJ12" s="139"/>
      <c r="MK12" s="139"/>
      <c r="ML12" s="139"/>
      <c r="MM12" s="139"/>
      <c r="MN12" s="139"/>
      <c r="MO12" s="139"/>
      <c r="MP12" s="139"/>
      <c r="MQ12" s="139"/>
      <c r="MR12" s="139"/>
      <c r="MS12" s="139"/>
      <c r="MT12" s="139"/>
      <c r="MU12" s="139"/>
      <c r="MV12" s="139"/>
      <c r="MW12" s="139"/>
      <c r="MX12" s="139"/>
      <c r="MY12" s="139"/>
      <c r="MZ12" s="139"/>
      <c r="NA12" s="139"/>
      <c r="NB12" s="139"/>
      <c r="NC12" s="139"/>
      <c r="ND12" s="139"/>
      <c r="NE12" s="139"/>
      <c r="NF12" s="139"/>
      <c r="NG12" s="139"/>
      <c r="NH12" s="139"/>
      <c r="NI12" s="139"/>
      <c r="NJ12" s="139"/>
      <c r="NK12" s="139"/>
      <c r="NL12" s="139"/>
      <c r="NM12" s="139"/>
      <c r="NN12" s="139"/>
      <c r="NO12" s="139"/>
      <c r="NP12" s="139"/>
      <c r="NQ12" s="139"/>
      <c r="NR12" s="139"/>
      <c r="NS12" s="139"/>
      <c r="NT12" s="139"/>
      <c r="NU12" s="139"/>
      <c r="NV12" s="139"/>
      <c r="NW12" s="139"/>
      <c r="NX12" s="139"/>
      <c r="NY12" s="139"/>
      <c r="NZ12" s="139"/>
      <c r="OA12" s="139"/>
      <c r="OB12" s="139"/>
      <c r="OC12" s="139"/>
      <c r="OD12" s="139"/>
      <c r="OE12" s="139"/>
      <c r="OF12" s="139"/>
      <c r="OG12" s="139"/>
      <c r="OH12" s="139"/>
      <c r="OI12" s="139"/>
      <c r="OJ12" s="139"/>
      <c r="OK12" s="139"/>
      <c r="OL12" s="139"/>
      <c r="OM12" s="139"/>
      <c r="ON12" s="139"/>
      <c r="OO12" s="139"/>
      <c r="OP12" s="139"/>
      <c r="OQ12" s="139"/>
      <c r="OR12" s="139"/>
      <c r="OS12" s="139"/>
      <c r="OT12" s="139"/>
      <c r="OU12" s="139"/>
      <c r="OV12" s="139"/>
      <c r="OW12" s="139"/>
      <c r="OX12" s="139"/>
      <c r="OY12" s="139"/>
      <c r="OZ12" s="139"/>
      <c r="PA12" s="139"/>
      <c r="PB12" s="139"/>
      <c r="PC12" s="139"/>
      <c r="PD12" s="139"/>
      <c r="PE12" s="139"/>
      <c r="PF12" s="139"/>
      <c r="PG12" s="139"/>
      <c r="PH12" s="139"/>
      <c r="PI12" s="139"/>
      <c r="PJ12" s="139"/>
      <c r="PK12" s="139"/>
      <c r="PL12" s="139"/>
      <c r="PM12" s="139"/>
      <c r="PN12" s="139"/>
      <c r="PO12" s="139"/>
      <c r="PP12" s="139"/>
      <c r="PQ12" s="139"/>
      <c r="PR12" s="139"/>
      <c r="PS12" s="139"/>
      <c r="PT12" s="139"/>
      <c r="PU12" s="139"/>
      <c r="PV12" s="139"/>
      <c r="PW12" s="139"/>
      <c r="PX12" s="139"/>
      <c r="PY12" s="139"/>
      <c r="PZ12" s="139"/>
      <c r="QA12" s="139"/>
      <c r="QB12" s="139"/>
      <c r="QC12" s="139"/>
      <c r="QD12" s="139"/>
      <c r="QE12" s="139"/>
      <c r="QF12" s="139"/>
      <c r="QG12" s="139"/>
      <c r="QH12" s="139"/>
      <c r="QI12" s="139"/>
      <c r="QJ12" s="139"/>
      <c r="QK12" s="139"/>
      <c r="QL12" s="139"/>
      <c r="QM12" s="139"/>
      <c r="QN12" s="139"/>
      <c r="QO12" s="139"/>
      <c r="QP12" s="139"/>
      <c r="QQ12" s="139"/>
      <c r="QR12" s="139"/>
      <c r="QS12" s="139"/>
      <c r="QT12" s="139"/>
      <c r="QU12" s="139"/>
      <c r="QV12" s="139"/>
      <c r="QW12" s="139"/>
      <c r="QX12" s="139"/>
      <c r="QY12" s="139"/>
      <c r="QZ12" s="139"/>
      <c r="RA12" s="139"/>
      <c r="RB12" s="139"/>
      <c r="RC12" s="139"/>
      <c r="RD12" s="139"/>
      <c r="RE12" s="139"/>
      <c r="RF12" s="139"/>
      <c r="RG12" s="139"/>
      <c r="RH12" s="139"/>
      <c r="RI12" s="139"/>
      <c r="RJ12" s="139"/>
      <c r="RK12" s="139"/>
      <c r="RL12" s="139"/>
      <c r="RM12" s="139"/>
      <c r="RN12" s="139"/>
      <c r="RO12" s="139"/>
      <c r="RP12" s="139"/>
      <c r="RQ12" s="139"/>
      <c r="RR12" s="139"/>
      <c r="RS12" s="139"/>
      <c r="RT12" s="139"/>
      <c r="RU12" s="139"/>
      <c r="RV12" s="139"/>
      <c r="RW12" s="139"/>
      <c r="RX12" s="139"/>
      <c r="RY12" s="139"/>
      <c r="RZ12" s="139"/>
      <c r="SA12" s="139"/>
      <c r="SB12" s="139"/>
      <c r="SC12" s="139"/>
      <c r="SD12" s="139"/>
      <c r="SE12" s="139"/>
      <c r="SF12" s="139"/>
      <c r="SG12" s="139"/>
      <c r="SH12" s="139"/>
      <c r="SI12" s="139"/>
      <c r="SJ12" s="139"/>
      <c r="SK12" s="139"/>
      <c r="SL12" s="139"/>
      <c r="SM12" s="139"/>
      <c r="SN12" s="139"/>
      <c r="SO12" s="139"/>
      <c r="SP12" s="139"/>
      <c r="SQ12" s="139"/>
      <c r="SR12" s="139"/>
      <c r="SS12" s="139"/>
      <c r="ST12" s="139"/>
      <c r="SU12" s="139"/>
      <c r="SV12" s="139"/>
      <c r="SW12" s="139"/>
      <c r="SX12" s="139"/>
      <c r="SY12" s="139"/>
      <c r="SZ12" s="139"/>
      <c r="TA12" s="139"/>
      <c r="TB12" s="139"/>
      <c r="TC12" s="139"/>
      <c r="TD12" s="139"/>
      <c r="TE12" s="139"/>
      <c r="TF12" s="139"/>
      <c r="TG12" s="139"/>
      <c r="TH12" s="139"/>
      <c r="TI12" s="139"/>
      <c r="TJ12" s="139"/>
      <c r="TK12" s="139"/>
      <c r="TL12" s="139"/>
      <c r="TM12" s="139"/>
      <c r="TN12" s="139"/>
      <c r="TO12" s="139"/>
      <c r="TP12" s="139"/>
      <c r="TQ12" s="139"/>
      <c r="TR12" s="139"/>
      <c r="TS12" s="139"/>
      <c r="TT12" s="139"/>
      <c r="TU12" s="139"/>
      <c r="TV12" s="139"/>
      <c r="TW12" s="139"/>
      <c r="TX12" s="139"/>
      <c r="TY12" s="139"/>
      <c r="TZ12" s="139"/>
      <c r="UA12" s="139"/>
      <c r="UB12" s="139"/>
      <c r="UC12" s="139"/>
      <c r="UD12" s="139"/>
      <c r="UE12" s="139"/>
      <c r="UF12" s="139"/>
      <c r="UG12" s="139"/>
      <c r="UH12" s="139"/>
      <c r="UI12" s="139"/>
      <c r="UJ12" s="139"/>
      <c r="UK12" s="139"/>
      <c r="UL12" s="139"/>
      <c r="UM12" s="139"/>
      <c r="UN12" s="139"/>
      <c r="UO12" s="139"/>
      <c r="UP12" s="139"/>
      <c r="UQ12" s="139"/>
      <c r="UR12" s="139"/>
      <c r="US12" s="139"/>
      <c r="UT12" s="139"/>
      <c r="UU12" s="139"/>
      <c r="UV12" s="139"/>
      <c r="UW12" s="139"/>
      <c r="UX12" s="139"/>
      <c r="UY12" s="139"/>
      <c r="UZ12" s="139"/>
      <c r="VA12" s="139"/>
      <c r="VB12" s="139"/>
      <c r="VC12" s="139"/>
      <c r="VD12" s="139"/>
      <c r="VE12" s="139"/>
      <c r="VF12" s="139"/>
      <c r="VG12" s="139"/>
      <c r="VH12" s="139"/>
      <c r="VI12" s="139"/>
      <c r="VJ12" s="139"/>
      <c r="VK12" s="139"/>
      <c r="VL12" s="139"/>
      <c r="VM12" s="139"/>
      <c r="VN12" s="139"/>
      <c r="VO12" s="139"/>
      <c r="VP12" s="139"/>
      <c r="VQ12" s="139"/>
      <c r="VR12" s="139"/>
      <c r="VS12" s="139"/>
      <c r="VT12" s="139"/>
      <c r="VU12" s="139"/>
      <c r="VV12" s="139"/>
      <c r="VW12" s="139"/>
      <c r="VX12" s="139"/>
      <c r="VY12" s="139"/>
      <c r="VZ12" s="139"/>
      <c r="WA12" s="139"/>
      <c r="WB12" s="139"/>
      <c r="WC12" s="139"/>
      <c r="WD12" s="139"/>
      <c r="WE12" s="139"/>
      <c r="WF12" s="139"/>
      <c r="WG12" s="139"/>
      <c r="WH12" s="139"/>
      <c r="WI12" s="139"/>
      <c r="WJ12" s="139"/>
      <c r="WK12" s="139"/>
      <c r="WL12" s="139"/>
      <c r="WM12" s="139"/>
      <c r="WN12" s="139"/>
      <c r="WO12" s="139"/>
      <c r="WP12" s="139"/>
      <c r="WQ12" s="139"/>
      <c r="WR12" s="139"/>
      <c r="WS12" s="139"/>
      <c r="WT12" s="139"/>
      <c r="WU12" s="139"/>
      <c r="WV12" s="139"/>
      <c r="WW12" s="139"/>
      <c r="WX12" s="139"/>
      <c r="WY12" s="139"/>
      <c r="WZ12" s="139"/>
      <c r="XA12" s="139"/>
      <c r="XB12" s="139"/>
      <c r="XC12" s="139"/>
      <c r="XD12" s="139"/>
      <c r="XE12" s="139"/>
      <c r="XF12" s="139"/>
      <c r="XG12" s="139"/>
      <c r="XH12" s="139"/>
      <c r="XI12" s="139"/>
      <c r="XJ12" s="139"/>
      <c r="XK12" s="139"/>
      <c r="XL12" s="139"/>
      <c r="XM12" s="139"/>
      <c r="XN12" s="139"/>
      <c r="XO12" s="139"/>
      <c r="XP12" s="139"/>
      <c r="XQ12" s="139"/>
      <c r="XR12" s="139"/>
      <c r="XS12" s="139"/>
      <c r="XT12" s="139"/>
      <c r="XU12" s="139"/>
      <c r="XV12" s="139"/>
      <c r="XW12" s="139"/>
      <c r="XX12" s="139"/>
      <c r="XY12" s="139"/>
      <c r="XZ12" s="139"/>
      <c r="YA12" s="139"/>
      <c r="YB12" s="139"/>
      <c r="YC12" s="139"/>
      <c r="YD12" s="139"/>
      <c r="YE12" s="139"/>
      <c r="YF12" s="139"/>
      <c r="YG12" s="139"/>
      <c r="YH12" s="139"/>
      <c r="YI12" s="139"/>
      <c r="YJ12" s="139"/>
      <c r="YK12" s="139"/>
      <c r="YL12" s="139"/>
      <c r="YM12" s="139"/>
      <c r="YN12" s="139"/>
      <c r="YO12" s="139"/>
      <c r="YP12" s="139"/>
      <c r="YQ12" s="139"/>
      <c r="YR12" s="139"/>
      <c r="YS12" s="139"/>
      <c r="YT12" s="139"/>
      <c r="YU12" s="139"/>
      <c r="YV12" s="139"/>
      <c r="YW12" s="139"/>
      <c r="YX12" s="139"/>
      <c r="YY12" s="139"/>
      <c r="YZ12" s="139"/>
      <c r="ZA12" s="139"/>
      <c r="ZB12" s="139"/>
      <c r="ZC12" s="139"/>
      <c r="ZD12" s="139"/>
      <c r="ZE12" s="139"/>
      <c r="ZF12" s="139"/>
      <c r="ZG12" s="139"/>
      <c r="ZH12" s="139"/>
      <c r="ZI12" s="139"/>
      <c r="ZJ12" s="139"/>
      <c r="ZK12" s="139"/>
      <c r="ZL12" s="139"/>
      <c r="ZM12" s="139"/>
      <c r="ZN12" s="139"/>
      <c r="ZO12" s="139"/>
      <c r="ZP12" s="139"/>
      <c r="ZQ12" s="139"/>
      <c r="ZR12" s="139"/>
      <c r="ZS12" s="139"/>
      <c r="ZT12" s="139"/>
      <c r="ZU12" s="139"/>
      <c r="ZV12" s="139"/>
      <c r="ZW12" s="139"/>
      <c r="ZX12" s="139"/>
      <c r="ZY12" s="139"/>
      <c r="ZZ12" s="139"/>
      <c r="AAA12" s="139"/>
      <c r="AAB12" s="139"/>
      <c r="AAC12" s="139"/>
      <c r="AAD12" s="139"/>
      <c r="AAE12" s="139"/>
      <c r="AAF12" s="139"/>
      <c r="AAG12" s="139"/>
      <c r="AAH12" s="139"/>
      <c r="AAI12" s="139"/>
      <c r="AAJ12" s="139"/>
      <c r="AAK12" s="139"/>
      <c r="AAL12" s="139"/>
      <c r="AAM12" s="139"/>
      <c r="AAN12" s="139"/>
      <c r="AAO12" s="139"/>
      <c r="AAP12" s="139"/>
      <c r="AAQ12" s="139"/>
      <c r="AAR12" s="139"/>
      <c r="AAS12" s="139"/>
      <c r="AAT12" s="139"/>
      <c r="AAU12" s="139"/>
      <c r="AAV12" s="139"/>
      <c r="AAW12" s="139"/>
      <c r="AAX12" s="139"/>
      <c r="AAY12" s="139"/>
      <c r="AAZ12" s="139"/>
      <c r="ABA12" s="139"/>
      <c r="ABB12" s="139"/>
      <c r="ABC12" s="139"/>
      <c r="ABD12" s="139"/>
      <c r="ABE12" s="139"/>
      <c r="ABF12" s="139"/>
      <c r="ABG12" s="139"/>
      <c r="ABH12" s="139"/>
      <c r="ABI12" s="139"/>
      <c r="ABJ12" s="139"/>
      <c r="ABK12" s="139"/>
      <c r="ABL12" s="139"/>
      <c r="ABM12" s="139"/>
      <c r="ABN12" s="139"/>
      <c r="ABO12" s="139"/>
      <c r="ABP12" s="139"/>
      <c r="ABQ12" s="139"/>
      <c r="ABR12" s="139"/>
      <c r="ABS12" s="139"/>
      <c r="ABT12" s="139"/>
      <c r="ABU12" s="139"/>
      <c r="ABV12" s="139"/>
      <c r="ABW12" s="139"/>
      <c r="ABX12" s="139"/>
      <c r="ABY12" s="139"/>
      <c r="ABZ12" s="139"/>
      <c r="ACA12" s="139"/>
      <c r="ACB12" s="139"/>
      <c r="ACC12" s="139"/>
      <c r="ACD12" s="139"/>
      <c r="ACE12" s="139"/>
      <c r="ACF12" s="139"/>
      <c r="ACG12" s="139"/>
      <c r="ACH12" s="139"/>
      <c r="ACI12" s="139"/>
      <c r="ACJ12" s="139"/>
      <c r="ACK12" s="139"/>
      <c r="ACL12" s="139"/>
      <c r="ACM12" s="139"/>
      <c r="ACN12" s="139"/>
      <c r="ACO12" s="139"/>
      <c r="ACP12" s="139"/>
      <c r="ACQ12" s="139"/>
      <c r="ACR12" s="139"/>
      <c r="ACS12" s="139"/>
      <c r="ACT12" s="139"/>
      <c r="ACU12" s="139"/>
      <c r="ACV12" s="139"/>
      <c r="ACW12" s="139"/>
      <c r="ACX12" s="139"/>
      <c r="ACY12" s="139"/>
      <c r="ACZ12" s="139"/>
      <c r="ADA12" s="139"/>
      <c r="ADB12" s="139"/>
      <c r="ADC12" s="139"/>
      <c r="ADD12" s="139"/>
      <c r="ADE12" s="139"/>
      <c r="ADF12" s="139"/>
      <c r="ADG12" s="139"/>
      <c r="ADH12" s="139"/>
      <c r="ADI12" s="139"/>
      <c r="ADJ12" s="139"/>
      <c r="ADK12" s="139"/>
      <c r="ADL12" s="139"/>
      <c r="ADM12" s="139"/>
      <c r="ADN12" s="139"/>
      <c r="ADO12" s="139"/>
      <c r="ADP12" s="139"/>
      <c r="ADQ12" s="139"/>
      <c r="ADR12" s="139"/>
      <c r="ADS12" s="139"/>
      <c r="ADT12" s="139"/>
      <c r="ADU12" s="139"/>
      <c r="ADV12" s="139"/>
      <c r="ADW12" s="139"/>
      <c r="ADX12" s="139"/>
      <c r="ADY12" s="139"/>
      <c r="ADZ12" s="139"/>
      <c r="AEA12" s="139"/>
      <c r="AEB12" s="139"/>
      <c r="AEC12" s="139"/>
      <c r="AED12" s="139"/>
      <c r="AEE12" s="139"/>
      <c r="AEF12" s="139"/>
      <c r="AEG12" s="139"/>
      <c r="AEH12" s="139"/>
      <c r="AEI12" s="139"/>
      <c r="AEJ12" s="139"/>
      <c r="AEK12" s="139"/>
      <c r="AEL12" s="139"/>
      <c r="AEM12" s="139"/>
      <c r="AEN12" s="139"/>
      <c r="AEO12" s="139"/>
      <c r="AEP12" s="139"/>
      <c r="AEQ12" s="139"/>
      <c r="AER12" s="139"/>
      <c r="AES12" s="139"/>
      <c r="AET12" s="139"/>
      <c r="AEU12" s="139"/>
      <c r="AEV12" s="139"/>
      <c r="AEW12" s="139"/>
      <c r="AEX12" s="139"/>
      <c r="AEY12" s="139"/>
      <c r="AEZ12" s="139"/>
      <c r="AFA12" s="139"/>
      <c r="AFB12" s="139"/>
      <c r="AFC12" s="139"/>
      <c r="AFD12" s="139"/>
      <c r="AFE12" s="139"/>
      <c r="AFF12" s="139"/>
      <c r="AFG12" s="139"/>
      <c r="AFH12" s="139"/>
      <c r="AFI12" s="139"/>
      <c r="AFJ12" s="139"/>
      <c r="AFK12" s="139"/>
      <c r="AFL12" s="139"/>
      <c r="AFM12" s="139"/>
      <c r="AFN12" s="139"/>
      <c r="AFO12" s="139"/>
      <c r="AFP12" s="139"/>
      <c r="AFQ12" s="139"/>
      <c r="AFR12" s="139"/>
      <c r="AFS12" s="139"/>
      <c r="AFT12" s="139"/>
      <c r="AFU12" s="139"/>
      <c r="AFV12" s="139"/>
      <c r="AFW12" s="139"/>
      <c r="AFX12" s="139"/>
      <c r="AFY12" s="139"/>
      <c r="AFZ12" s="139"/>
      <c r="AGA12" s="139"/>
      <c r="AGB12" s="139"/>
      <c r="AGC12" s="139"/>
      <c r="AGD12" s="139"/>
      <c r="AGE12" s="139"/>
      <c r="AGF12" s="139"/>
      <c r="AGG12" s="139"/>
      <c r="AGH12" s="139"/>
      <c r="AGI12" s="139"/>
      <c r="AGJ12" s="139"/>
      <c r="AGK12" s="139"/>
      <c r="AGL12" s="139"/>
      <c r="AGM12" s="139"/>
      <c r="AGN12" s="139"/>
      <c r="AGO12" s="139"/>
      <c r="AGP12" s="139"/>
      <c r="AGQ12" s="139"/>
      <c r="AGR12" s="139"/>
      <c r="AGS12" s="139"/>
      <c r="AGT12" s="139"/>
      <c r="AGU12" s="139"/>
      <c r="AGV12" s="139"/>
      <c r="AGW12" s="139"/>
      <c r="AGX12" s="139"/>
      <c r="AGY12" s="139"/>
      <c r="AGZ12" s="139"/>
      <c r="AHA12" s="139"/>
      <c r="AHB12" s="139"/>
      <c r="AHC12" s="139"/>
      <c r="AHD12" s="139"/>
      <c r="AHE12" s="139"/>
      <c r="AHF12" s="139"/>
      <c r="AHG12" s="139"/>
      <c r="AHH12" s="139"/>
      <c r="AHI12" s="139"/>
      <c r="AHJ12" s="139"/>
      <c r="AHK12" s="139"/>
      <c r="AHL12" s="139"/>
      <c r="AHM12" s="139"/>
      <c r="AHN12" s="139"/>
      <c r="AHO12" s="139"/>
      <c r="AHP12" s="139"/>
      <c r="AHQ12" s="139"/>
      <c r="AHR12" s="139"/>
      <c r="AHS12" s="139"/>
      <c r="AHT12" s="139"/>
      <c r="AHU12" s="139"/>
      <c r="AHV12" s="139"/>
      <c r="AHW12" s="139"/>
      <c r="AHX12" s="139"/>
      <c r="AHY12" s="139"/>
      <c r="AHZ12" s="139"/>
      <c r="AIA12" s="139"/>
      <c r="AIB12" s="139"/>
      <c r="AIC12" s="139"/>
      <c r="AID12" s="139"/>
      <c r="AIE12" s="139"/>
      <c r="AIF12" s="139"/>
      <c r="AIG12" s="139"/>
      <c r="AIH12" s="139"/>
      <c r="AII12" s="139"/>
      <c r="AIJ12" s="139"/>
      <c r="AIK12" s="139"/>
      <c r="AIL12" s="139"/>
      <c r="AIM12" s="139"/>
      <c r="AIN12" s="139"/>
      <c r="AIO12" s="139"/>
      <c r="AIP12" s="139"/>
      <c r="AIQ12" s="139"/>
      <c r="AIR12" s="139"/>
      <c r="AIS12" s="139"/>
      <c r="AIT12" s="139"/>
      <c r="AIU12" s="139"/>
      <c r="AIV12" s="139"/>
      <c r="AIW12" s="139"/>
      <c r="AIX12" s="139"/>
      <c r="AIY12" s="139"/>
      <c r="AIZ12" s="139"/>
      <c r="AJA12" s="139"/>
      <c r="AJB12" s="139"/>
      <c r="AJC12" s="139"/>
      <c r="AJD12" s="139"/>
      <c r="AJE12" s="139"/>
      <c r="AJF12" s="139"/>
      <c r="AJG12" s="139"/>
      <c r="AJH12" s="139"/>
      <c r="AJI12" s="139"/>
      <c r="AJJ12" s="139"/>
      <c r="AJK12" s="139"/>
      <c r="AJL12" s="139"/>
      <c r="AJM12" s="139"/>
      <c r="AJN12" s="139"/>
      <c r="AJO12" s="139"/>
      <c r="AJP12" s="139"/>
      <c r="AJQ12" s="139"/>
      <c r="AJR12" s="139"/>
      <c r="AJS12" s="139"/>
      <c r="AJT12" s="139"/>
      <c r="AJU12" s="139"/>
      <c r="AJV12" s="139"/>
      <c r="AJW12" s="139"/>
      <c r="AJX12" s="139"/>
      <c r="AJY12" s="139"/>
      <c r="AJZ12" s="139"/>
      <c r="AKA12" s="139"/>
      <c r="AKB12" s="139"/>
      <c r="AKC12" s="139"/>
      <c r="AKD12" s="139"/>
      <c r="AKE12" s="139"/>
      <c r="AKF12" s="139"/>
      <c r="AKG12" s="139"/>
      <c r="AKH12" s="139"/>
      <c r="AKI12" s="139"/>
      <c r="AKJ12" s="139"/>
      <c r="AKK12" s="139"/>
      <c r="AKL12" s="139"/>
      <c r="AKM12" s="139"/>
      <c r="AKN12" s="139"/>
      <c r="AKO12" s="139"/>
      <c r="AKP12" s="139"/>
      <c r="AKQ12" s="139"/>
      <c r="AKR12" s="139"/>
      <c r="AKS12" s="139"/>
      <c r="AKT12" s="139"/>
      <c r="AKU12" s="139"/>
      <c r="AKV12" s="139"/>
      <c r="AKW12" s="139"/>
      <c r="AKX12" s="139"/>
      <c r="AKY12" s="139"/>
      <c r="AKZ12" s="139"/>
      <c r="ALA12" s="139"/>
      <c r="ALB12" s="139"/>
      <c r="ALC12" s="139"/>
      <c r="ALD12" s="139"/>
      <c r="ALE12" s="139"/>
      <c r="ALF12" s="139"/>
      <c r="ALG12" s="139"/>
      <c r="ALH12" s="139"/>
      <c r="ALI12" s="139"/>
      <c r="ALJ12" s="139"/>
      <c r="ALK12" s="139"/>
      <c r="ALL12" s="139"/>
      <c r="ALM12" s="139"/>
      <c r="ALN12" s="139"/>
      <c r="ALO12" s="139"/>
      <c r="ALP12" s="139"/>
      <c r="ALQ12" s="139"/>
      <c r="ALR12" s="139"/>
      <c r="ALS12" s="139"/>
      <c r="ALT12" s="139"/>
      <c r="ALU12" s="139"/>
      <c r="ALV12" s="139"/>
      <c r="ALW12" s="139"/>
      <c r="ALX12" s="139"/>
      <c r="ALY12" s="139"/>
      <c r="ALZ12" s="139"/>
      <c r="AMA12" s="139"/>
      <c r="AMB12" s="139"/>
      <c r="AMC12" s="139"/>
      <c r="AMD12" s="139"/>
      <c r="AME12" s="139"/>
      <c r="AMF12" s="139"/>
    </row>
    <row r="13" spans="1:1024" s="139" customFormat="1" x14ac:dyDescent="0.25">
      <c r="A13" s="162" t="s">
        <v>16</v>
      </c>
      <c r="B13" s="163">
        <v>2</v>
      </c>
      <c r="C13" s="164">
        <v>26</v>
      </c>
      <c r="D13" s="164">
        <v>25</v>
      </c>
      <c r="E13" s="164">
        <v>2</v>
      </c>
      <c r="F13" s="164">
        <v>3</v>
      </c>
      <c r="G13" s="164">
        <v>8</v>
      </c>
      <c r="H13" s="164">
        <v>8</v>
      </c>
      <c r="I13" s="164">
        <v>8</v>
      </c>
      <c r="J13" s="164">
        <v>8</v>
      </c>
      <c r="K13" s="164">
        <v>6</v>
      </c>
      <c r="L13" s="166">
        <f>SUM(B13:K13)</f>
        <v>96</v>
      </c>
      <c r="M13" s="167"/>
      <c r="N13" s="167"/>
      <c r="O13" s="167"/>
      <c r="P13" s="167"/>
      <c r="Q13" s="167"/>
    </row>
    <row r="14" spans="1:1024" s="172" customFormat="1" x14ac:dyDescent="0.25">
      <c r="A14" s="168" t="s">
        <v>17</v>
      </c>
      <c r="B14" s="169">
        <f t="shared" ref="B14:K14" si="12">2^B13</f>
        <v>4</v>
      </c>
      <c r="C14" s="169">
        <f t="shared" si="12"/>
        <v>67108864</v>
      </c>
      <c r="D14" s="169">
        <f t="shared" si="12"/>
        <v>33554432</v>
      </c>
      <c r="E14" s="169">
        <f t="shared" si="12"/>
        <v>4</v>
      </c>
      <c r="F14" s="169">
        <f t="shared" si="12"/>
        <v>8</v>
      </c>
      <c r="G14" s="169">
        <f t="shared" si="12"/>
        <v>256</v>
      </c>
      <c r="H14" s="169">
        <f t="shared" si="12"/>
        <v>256</v>
      </c>
      <c r="I14" s="169">
        <f t="shared" si="12"/>
        <v>256</v>
      </c>
      <c r="J14" s="169">
        <f t="shared" si="12"/>
        <v>256</v>
      </c>
      <c r="K14" s="169">
        <f t="shared" si="12"/>
        <v>64</v>
      </c>
      <c r="L14" s="170"/>
      <c r="M14" s="171"/>
      <c r="N14" s="171"/>
      <c r="O14" s="171"/>
      <c r="P14" s="171"/>
      <c r="Q14" s="171"/>
    </row>
    <row r="15" spans="1:1024" s="140" customFormat="1" x14ac:dyDescent="0.25">
      <c r="A15" s="160" t="s">
        <v>18</v>
      </c>
      <c r="B15" s="100">
        <v>0</v>
      </c>
      <c r="C15" s="100">
        <v>0</v>
      </c>
      <c r="D15" s="100">
        <v>0</v>
      </c>
      <c r="E15" s="100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61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  <c r="DX15" s="139"/>
      <c r="DY15" s="139"/>
      <c r="DZ15" s="139"/>
      <c r="EA15" s="139"/>
      <c r="EB15" s="139"/>
      <c r="EC15" s="139"/>
      <c r="ED15" s="139"/>
      <c r="EE15" s="139"/>
      <c r="EF15" s="139"/>
      <c r="EG15" s="139"/>
      <c r="EH15" s="139"/>
      <c r="EI15" s="139"/>
      <c r="EJ15" s="139"/>
      <c r="EK15" s="139"/>
      <c r="EL15" s="139"/>
      <c r="EM15" s="139"/>
      <c r="EN15" s="139"/>
      <c r="EO15" s="139"/>
      <c r="EP15" s="139"/>
      <c r="EQ15" s="139"/>
      <c r="ER15" s="139"/>
      <c r="ES15" s="139"/>
      <c r="ET15" s="139"/>
      <c r="EU15" s="139"/>
      <c r="EV15" s="139"/>
      <c r="EW15" s="139"/>
      <c r="EX15" s="139"/>
      <c r="EY15" s="139"/>
      <c r="EZ15" s="139"/>
      <c r="FA15" s="139"/>
      <c r="FB15" s="139"/>
      <c r="FC15" s="139"/>
      <c r="FD15" s="139"/>
      <c r="FE15" s="139"/>
      <c r="FF15" s="139"/>
      <c r="FG15" s="139"/>
      <c r="FH15" s="139"/>
      <c r="FI15" s="139"/>
      <c r="FJ15" s="139"/>
      <c r="FK15" s="139"/>
      <c r="FL15" s="139"/>
      <c r="FM15" s="139"/>
      <c r="FN15" s="139"/>
      <c r="FO15" s="139"/>
      <c r="FP15" s="139"/>
      <c r="FQ15" s="139"/>
      <c r="FR15" s="139"/>
      <c r="FS15" s="139"/>
      <c r="FT15" s="139"/>
      <c r="FU15" s="139"/>
      <c r="FV15" s="139"/>
      <c r="FW15" s="139"/>
      <c r="FX15" s="139"/>
      <c r="FY15" s="139"/>
      <c r="FZ15" s="139"/>
      <c r="GA15" s="139"/>
      <c r="GB15" s="139"/>
      <c r="GC15" s="139"/>
      <c r="GD15" s="139"/>
      <c r="GE15" s="139"/>
      <c r="GF15" s="139"/>
      <c r="GG15" s="139"/>
      <c r="GH15" s="139"/>
      <c r="GI15" s="139"/>
      <c r="GJ15" s="139"/>
      <c r="GK15" s="139"/>
      <c r="GL15" s="139"/>
      <c r="GM15" s="139"/>
      <c r="GN15" s="139"/>
      <c r="GO15" s="139"/>
      <c r="GP15" s="139"/>
      <c r="GQ15" s="139"/>
      <c r="GR15" s="139"/>
      <c r="GS15" s="139"/>
      <c r="GT15" s="139"/>
      <c r="GU15" s="139"/>
      <c r="GV15" s="139"/>
      <c r="GW15" s="139"/>
      <c r="GX15" s="139"/>
      <c r="GY15" s="139"/>
      <c r="GZ15" s="139"/>
      <c r="HA15" s="139"/>
      <c r="HB15" s="139"/>
      <c r="HC15" s="139"/>
      <c r="HD15" s="139"/>
      <c r="HE15" s="139"/>
      <c r="HF15" s="139"/>
      <c r="HG15" s="139"/>
      <c r="HH15" s="139"/>
      <c r="HI15" s="139"/>
      <c r="HJ15" s="139"/>
      <c r="HK15" s="139"/>
      <c r="HL15" s="139"/>
      <c r="HM15" s="139"/>
      <c r="HN15" s="139"/>
      <c r="HO15" s="139"/>
      <c r="HP15" s="139"/>
      <c r="HQ15" s="139"/>
      <c r="HR15" s="139"/>
      <c r="HS15" s="139"/>
      <c r="HT15" s="139"/>
      <c r="HU15" s="139"/>
      <c r="HV15" s="139"/>
      <c r="HW15" s="139"/>
      <c r="HX15" s="139"/>
      <c r="HY15" s="139"/>
      <c r="HZ15" s="139"/>
      <c r="IA15" s="139"/>
      <c r="IB15" s="139"/>
      <c r="IC15" s="139"/>
      <c r="ID15" s="139"/>
      <c r="IE15" s="139"/>
      <c r="IF15" s="139"/>
      <c r="IG15" s="139"/>
      <c r="IH15" s="139"/>
      <c r="II15" s="139"/>
      <c r="IJ15" s="139"/>
      <c r="IK15" s="139"/>
      <c r="IL15" s="139"/>
      <c r="IM15" s="139"/>
      <c r="IN15" s="139"/>
      <c r="IO15" s="139"/>
      <c r="IP15" s="139"/>
      <c r="IQ15" s="139"/>
      <c r="IR15" s="139"/>
      <c r="IS15" s="139"/>
      <c r="IT15" s="139"/>
      <c r="IU15" s="139"/>
      <c r="IV15" s="139"/>
      <c r="IW15" s="139"/>
      <c r="IX15" s="139"/>
      <c r="IY15" s="139"/>
      <c r="IZ15" s="139"/>
      <c r="JA15" s="139"/>
      <c r="JB15" s="139"/>
      <c r="JC15" s="139"/>
      <c r="JD15" s="139"/>
      <c r="JE15" s="139"/>
      <c r="JF15" s="139"/>
      <c r="JG15" s="139"/>
      <c r="JH15" s="139"/>
      <c r="JI15" s="139"/>
      <c r="JJ15" s="139"/>
      <c r="JK15" s="139"/>
      <c r="JL15" s="139"/>
      <c r="JM15" s="139"/>
      <c r="JN15" s="139"/>
      <c r="JO15" s="139"/>
      <c r="JP15" s="139"/>
      <c r="JQ15" s="139"/>
      <c r="JR15" s="139"/>
      <c r="JS15" s="139"/>
      <c r="JT15" s="139"/>
      <c r="JU15" s="139"/>
      <c r="JV15" s="139"/>
      <c r="JW15" s="139"/>
      <c r="JX15" s="139"/>
      <c r="JY15" s="139"/>
      <c r="JZ15" s="139"/>
      <c r="KA15" s="139"/>
      <c r="KB15" s="139"/>
      <c r="KC15" s="139"/>
      <c r="KD15" s="139"/>
      <c r="KE15" s="139"/>
      <c r="KF15" s="139"/>
      <c r="KG15" s="139"/>
      <c r="KH15" s="139"/>
      <c r="KI15" s="139"/>
      <c r="KJ15" s="139"/>
      <c r="KK15" s="139"/>
      <c r="KL15" s="139"/>
      <c r="KM15" s="139"/>
      <c r="KN15" s="139"/>
      <c r="KO15" s="139"/>
      <c r="KP15" s="139"/>
      <c r="KQ15" s="139"/>
      <c r="KR15" s="139"/>
      <c r="KS15" s="139"/>
      <c r="KT15" s="139"/>
      <c r="KU15" s="139"/>
      <c r="KV15" s="139"/>
      <c r="KW15" s="139"/>
      <c r="KX15" s="139"/>
      <c r="KY15" s="139"/>
      <c r="KZ15" s="139"/>
      <c r="LA15" s="139"/>
      <c r="LB15" s="139"/>
      <c r="LC15" s="139"/>
      <c r="LD15" s="139"/>
      <c r="LE15" s="139"/>
      <c r="LF15" s="139"/>
      <c r="LG15" s="139"/>
      <c r="LH15" s="139"/>
      <c r="LI15" s="139"/>
      <c r="LJ15" s="139"/>
      <c r="LK15" s="139"/>
      <c r="LL15" s="139"/>
      <c r="LM15" s="139"/>
      <c r="LN15" s="139"/>
      <c r="LO15" s="139"/>
      <c r="LP15" s="139"/>
      <c r="LQ15" s="139"/>
      <c r="LR15" s="139"/>
      <c r="LS15" s="139"/>
      <c r="LT15" s="139"/>
      <c r="LU15" s="139"/>
      <c r="LV15" s="139"/>
      <c r="LW15" s="139"/>
      <c r="LX15" s="139"/>
      <c r="LY15" s="139"/>
      <c r="LZ15" s="139"/>
      <c r="MA15" s="139"/>
      <c r="MB15" s="139"/>
      <c r="MC15" s="139"/>
      <c r="MD15" s="139"/>
      <c r="ME15" s="139"/>
      <c r="MF15" s="139"/>
      <c r="MG15" s="139"/>
      <c r="MH15" s="139"/>
      <c r="MI15" s="139"/>
      <c r="MJ15" s="139"/>
      <c r="MK15" s="139"/>
      <c r="ML15" s="139"/>
      <c r="MM15" s="139"/>
      <c r="MN15" s="139"/>
      <c r="MO15" s="139"/>
      <c r="MP15" s="139"/>
      <c r="MQ15" s="139"/>
      <c r="MR15" s="139"/>
      <c r="MS15" s="139"/>
      <c r="MT15" s="139"/>
      <c r="MU15" s="139"/>
      <c r="MV15" s="139"/>
      <c r="MW15" s="139"/>
      <c r="MX15" s="139"/>
      <c r="MY15" s="139"/>
      <c r="MZ15" s="139"/>
      <c r="NA15" s="139"/>
      <c r="NB15" s="139"/>
      <c r="NC15" s="139"/>
      <c r="ND15" s="139"/>
      <c r="NE15" s="139"/>
      <c r="NF15" s="139"/>
      <c r="NG15" s="139"/>
      <c r="NH15" s="139"/>
      <c r="NI15" s="139"/>
      <c r="NJ15" s="139"/>
      <c r="NK15" s="139"/>
      <c r="NL15" s="139"/>
      <c r="NM15" s="139"/>
      <c r="NN15" s="139"/>
      <c r="NO15" s="139"/>
      <c r="NP15" s="139"/>
      <c r="NQ15" s="139"/>
      <c r="NR15" s="139"/>
      <c r="NS15" s="139"/>
      <c r="NT15" s="139"/>
      <c r="NU15" s="139"/>
      <c r="NV15" s="139"/>
      <c r="NW15" s="139"/>
      <c r="NX15" s="139"/>
      <c r="NY15" s="139"/>
      <c r="NZ15" s="139"/>
      <c r="OA15" s="139"/>
      <c r="OB15" s="139"/>
      <c r="OC15" s="139"/>
      <c r="OD15" s="139"/>
      <c r="OE15" s="139"/>
      <c r="OF15" s="139"/>
      <c r="OG15" s="139"/>
      <c r="OH15" s="139"/>
      <c r="OI15" s="139"/>
      <c r="OJ15" s="139"/>
      <c r="OK15" s="139"/>
      <c r="OL15" s="139"/>
      <c r="OM15" s="139"/>
      <c r="ON15" s="139"/>
      <c r="OO15" s="139"/>
      <c r="OP15" s="139"/>
      <c r="OQ15" s="139"/>
      <c r="OR15" s="139"/>
      <c r="OS15" s="139"/>
      <c r="OT15" s="139"/>
      <c r="OU15" s="139"/>
      <c r="OV15" s="139"/>
      <c r="OW15" s="139"/>
      <c r="OX15" s="139"/>
      <c r="OY15" s="139"/>
      <c r="OZ15" s="139"/>
      <c r="PA15" s="139"/>
      <c r="PB15" s="139"/>
      <c r="PC15" s="139"/>
      <c r="PD15" s="139"/>
      <c r="PE15" s="139"/>
      <c r="PF15" s="139"/>
      <c r="PG15" s="139"/>
      <c r="PH15" s="139"/>
      <c r="PI15" s="139"/>
      <c r="PJ15" s="139"/>
      <c r="PK15" s="139"/>
      <c r="PL15" s="139"/>
      <c r="PM15" s="139"/>
      <c r="PN15" s="139"/>
      <c r="PO15" s="139"/>
      <c r="PP15" s="139"/>
      <c r="PQ15" s="139"/>
      <c r="PR15" s="139"/>
      <c r="PS15" s="139"/>
      <c r="PT15" s="139"/>
      <c r="PU15" s="139"/>
      <c r="PV15" s="139"/>
      <c r="PW15" s="139"/>
      <c r="PX15" s="139"/>
      <c r="PY15" s="139"/>
      <c r="PZ15" s="139"/>
      <c r="QA15" s="139"/>
      <c r="QB15" s="139"/>
      <c r="QC15" s="139"/>
      <c r="QD15" s="139"/>
      <c r="QE15" s="139"/>
      <c r="QF15" s="139"/>
      <c r="QG15" s="139"/>
      <c r="QH15" s="139"/>
      <c r="QI15" s="139"/>
      <c r="QJ15" s="139"/>
      <c r="QK15" s="139"/>
      <c r="QL15" s="139"/>
      <c r="QM15" s="139"/>
      <c r="QN15" s="139"/>
      <c r="QO15" s="139"/>
      <c r="QP15" s="139"/>
      <c r="QQ15" s="139"/>
      <c r="QR15" s="139"/>
      <c r="QS15" s="139"/>
      <c r="QT15" s="139"/>
      <c r="QU15" s="139"/>
      <c r="QV15" s="139"/>
      <c r="QW15" s="139"/>
      <c r="QX15" s="139"/>
      <c r="QY15" s="139"/>
      <c r="QZ15" s="139"/>
      <c r="RA15" s="139"/>
      <c r="RB15" s="139"/>
      <c r="RC15" s="139"/>
      <c r="RD15" s="139"/>
      <c r="RE15" s="139"/>
      <c r="RF15" s="139"/>
      <c r="RG15" s="139"/>
      <c r="RH15" s="139"/>
      <c r="RI15" s="139"/>
      <c r="RJ15" s="139"/>
      <c r="RK15" s="139"/>
      <c r="RL15" s="139"/>
      <c r="RM15" s="139"/>
      <c r="RN15" s="139"/>
      <c r="RO15" s="139"/>
      <c r="RP15" s="139"/>
      <c r="RQ15" s="139"/>
      <c r="RR15" s="139"/>
      <c r="RS15" s="139"/>
      <c r="RT15" s="139"/>
      <c r="RU15" s="139"/>
      <c r="RV15" s="139"/>
      <c r="RW15" s="139"/>
      <c r="RX15" s="139"/>
      <c r="RY15" s="139"/>
      <c r="RZ15" s="139"/>
      <c r="SA15" s="139"/>
      <c r="SB15" s="139"/>
      <c r="SC15" s="139"/>
      <c r="SD15" s="139"/>
      <c r="SE15" s="139"/>
      <c r="SF15" s="139"/>
      <c r="SG15" s="139"/>
      <c r="SH15" s="139"/>
      <c r="SI15" s="139"/>
      <c r="SJ15" s="139"/>
      <c r="SK15" s="139"/>
      <c r="SL15" s="139"/>
      <c r="SM15" s="139"/>
      <c r="SN15" s="139"/>
      <c r="SO15" s="139"/>
      <c r="SP15" s="139"/>
      <c r="SQ15" s="139"/>
      <c r="SR15" s="139"/>
      <c r="SS15" s="139"/>
      <c r="ST15" s="139"/>
      <c r="SU15" s="139"/>
      <c r="SV15" s="139"/>
      <c r="SW15" s="139"/>
      <c r="SX15" s="139"/>
      <c r="SY15" s="139"/>
      <c r="SZ15" s="139"/>
      <c r="TA15" s="139"/>
      <c r="TB15" s="139"/>
      <c r="TC15" s="139"/>
      <c r="TD15" s="139"/>
      <c r="TE15" s="139"/>
      <c r="TF15" s="139"/>
      <c r="TG15" s="139"/>
      <c r="TH15" s="139"/>
      <c r="TI15" s="139"/>
      <c r="TJ15" s="139"/>
      <c r="TK15" s="139"/>
      <c r="TL15" s="139"/>
      <c r="TM15" s="139"/>
      <c r="TN15" s="139"/>
      <c r="TO15" s="139"/>
      <c r="TP15" s="139"/>
      <c r="TQ15" s="139"/>
      <c r="TR15" s="139"/>
      <c r="TS15" s="139"/>
      <c r="TT15" s="139"/>
      <c r="TU15" s="139"/>
      <c r="TV15" s="139"/>
      <c r="TW15" s="139"/>
      <c r="TX15" s="139"/>
      <c r="TY15" s="139"/>
      <c r="TZ15" s="139"/>
      <c r="UA15" s="139"/>
      <c r="UB15" s="139"/>
      <c r="UC15" s="139"/>
      <c r="UD15" s="139"/>
      <c r="UE15" s="139"/>
      <c r="UF15" s="139"/>
      <c r="UG15" s="139"/>
      <c r="UH15" s="139"/>
      <c r="UI15" s="139"/>
      <c r="UJ15" s="139"/>
      <c r="UK15" s="139"/>
      <c r="UL15" s="139"/>
      <c r="UM15" s="139"/>
      <c r="UN15" s="139"/>
      <c r="UO15" s="139"/>
      <c r="UP15" s="139"/>
      <c r="UQ15" s="139"/>
      <c r="UR15" s="139"/>
      <c r="US15" s="139"/>
      <c r="UT15" s="139"/>
      <c r="UU15" s="139"/>
      <c r="UV15" s="139"/>
      <c r="UW15" s="139"/>
      <c r="UX15" s="139"/>
      <c r="UY15" s="139"/>
      <c r="UZ15" s="139"/>
      <c r="VA15" s="139"/>
      <c r="VB15" s="139"/>
      <c r="VC15" s="139"/>
      <c r="VD15" s="139"/>
      <c r="VE15" s="139"/>
      <c r="VF15" s="139"/>
      <c r="VG15" s="139"/>
      <c r="VH15" s="139"/>
      <c r="VI15" s="139"/>
      <c r="VJ15" s="139"/>
      <c r="VK15" s="139"/>
      <c r="VL15" s="139"/>
      <c r="VM15" s="139"/>
      <c r="VN15" s="139"/>
      <c r="VO15" s="139"/>
      <c r="VP15" s="139"/>
      <c r="VQ15" s="139"/>
      <c r="VR15" s="139"/>
      <c r="VS15" s="139"/>
      <c r="VT15" s="139"/>
      <c r="VU15" s="139"/>
      <c r="VV15" s="139"/>
      <c r="VW15" s="139"/>
      <c r="VX15" s="139"/>
      <c r="VY15" s="139"/>
      <c r="VZ15" s="139"/>
      <c r="WA15" s="139"/>
      <c r="WB15" s="139"/>
      <c r="WC15" s="139"/>
      <c r="WD15" s="139"/>
      <c r="WE15" s="139"/>
      <c r="WF15" s="139"/>
      <c r="WG15" s="139"/>
      <c r="WH15" s="139"/>
      <c r="WI15" s="139"/>
      <c r="WJ15" s="139"/>
      <c r="WK15" s="139"/>
      <c r="WL15" s="139"/>
      <c r="WM15" s="139"/>
      <c r="WN15" s="139"/>
      <c r="WO15" s="139"/>
      <c r="WP15" s="139"/>
      <c r="WQ15" s="139"/>
      <c r="WR15" s="139"/>
      <c r="WS15" s="139"/>
      <c r="WT15" s="139"/>
      <c r="WU15" s="139"/>
      <c r="WV15" s="139"/>
      <c r="WW15" s="139"/>
      <c r="WX15" s="139"/>
      <c r="WY15" s="139"/>
      <c r="WZ15" s="139"/>
      <c r="XA15" s="139"/>
      <c r="XB15" s="139"/>
      <c r="XC15" s="139"/>
      <c r="XD15" s="139"/>
      <c r="XE15" s="139"/>
      <c r="XF15" s="139"/>
      <c r="XG15" s="139"/>
      <c r="XH15" s="139"/>
      <c r="XI15" s="139"/>
      <c r="XJ15" s="139"/>
      <c r="XK15" s="139"/>
      <c r="XL15" s="139"/>
      <c r="XM15" s="139"/>
      <c r="XN15" s="139"/>
      <c r="XO15" s="139"/>
      <c r="XP15" s="139"/>
      <c r="XQ15" s="139"/>
      <c r="XR15" s="139"/>
      <c r="XS15" s="139"/>
      <c r="XT15" s="139"/>
      <c r="XU15" s="139"/>
      <c r="XV15" s="139"/>
      <c r="XW15" s="139"/>
      <c r="XX15" s="139"/>
      <c r="XY15" s="139"/>
      <c r="XZ15" s="139"/>
      <c r="YA15" s="139"/>
      <c r="YB15" s="139"/>
      <c r="YC15" s="139"/>
      <c r="YD15" s="139"/>
      <c r="YE15" s="139"/>
      <c r="YF15" s="139"/>
      <c r="YG15" s="139"/>
      <c r="YH15" s="139"/>
      <c r="YI15" s="139"/>
      <c r="YJ15" s="139"/>
      <c r="YK15" s="139"/>
      <c r="YL15" s="139"/>
      <c r="YM15" s="139"/>
      <c r="YN15" s="139"/>
      <c r="YO15" s="139"/>
      <c r="YP15" s="139"/>
      <c r="YQ15" s="139"/>
      <c r="YR15" s="139"/>
      <c r="YS15" s="139"/>
      <c r="YT15" s="139"/>
      <c r="YU15" s="139"/>
      <c r="YV15" s="139"/>
      <c r="YW15" s="139"/>
      <c r="YX15" s="139"/>
      <c r="YY15" s="139"/>
      <c r="YZ15" s="139"/>
      <c r="ZA15" s="139"/>
      <c r="ZB15" s="139"/>
      <c r="ZC15" s="139"/>
      <c r="ZD15" s="139"/>
      <c r="ZE15" s="139"/>
      <c r="ZF15" s="139"/>
      <c r="ZG15" s="139"/>
      <c r="ZH15" s="139"/>
      <c r="ZI15" s="139"/>
      <c r="ZJ15" s="139"/>
      <c r="ZK15" s="139"/>
      <c r="ZL15" s="139"/>
      <c r="ZM15" s="139"/>
      <c r="ZN15" s="139"/>
      <c r="ZO15" s="139"/>
      <c r="ZP15" s="139"/>
      <c r="ZQ15" s="139"/>
      <c r="ZR15" s="139"/>
      <c r="ZS15" s="139"/>
      <c r="ZT15" s="139"/>
      <c r="ZU15" s="139"/>
      <c r="ZV15" s="139"/>
      <c r="ZW15" s="139"/>
      <c r="ZX15" s="139"/>
      <c r="ZY15" s="139"/>
      <c r="ZZ15" s="139"/>
      <c r="AAA15" s="139"/>
      <c r="AAB15" s="139"/>
      <c r="AAC15" s="139"/>
      <c r="AAD15" s="139"/>
      <c r="AAE15" s="139"/>
      <c r="AAF15" s="139"/>
      <c r="AAG15" s="139"/>
      <c r="AAH15" s="139"/>
      <c r="AAI15" s="139"/>
      <c r="AAJ15" s="139"/>
      <c r="AAK15" s="139"/>
      <c r="AAL15" s="139"/>
      <c r="AAM15" s="139"/>
      <c r="AAN15" s="139"/>
      <c r="AAO15" s="139"/>
      <c r="AAP15" s="139"/>
      <c r="AAQ15" s="139"/>
      <c r="AAR15" s="139"/>
      <c r="AAS15" s="139"/>
      <c r="AAT15" s="139"/>
      <c r="AAU15" s="139"/>
      <c r="AAV15" s="139"/>
      <c r="AAW15" s="139"/>
      <c r="AAX15" s="139"/>
      <c r="AAY15" s="139"/>
      <c r="AAZ15" s="139"/>
      <c r="ABA15" s="139"/>
      <c r="ABB15" s="139"/>
      <c r="ABC15" s="139"/>
      <c r="ABD15" s="139"/>
      <c r="ABE15" s="139"/>
      <c r="ABF15" s="139"/>
      <c r="ABG15" s="139"/>
      <c r="ABH15" s="139"/>
      <c r="ABI15" s="139"/>
      <c r="ABJ15" s="139"/>
      <c r="ABK15" s="139"/>
      <c r="ABL15" s="139"/>
      <c r="ABM15" s="139"/>
      <c r="ABN15" s="139"/>
      <c r="ABO15" s="139"/>
      <c r="ABP15" s="139"/>
      <c r="ABQ15" s="139"/>
      <c r="ABR15" s="139"/>
      <c r="ABS15" s="139"/>
      <c r="ABT15" s="139"/>
      <c r="ABU15" s="139"/>
      <c r="ABV15" s="139"/>
      <c r="ABW15" s="139"/>
      <c r="ABX15" s="139"/>
      <c r="ABY15" s="139"/>
      <c r="ABZ15" s="139"/>
      <c r="ACA15" s="139"/>
      <c r="ACB15" s="139"/>
      <c r="ACC15" s="139"/>
      <c r="ACD15" s="139"/>
      <c r="ACE15" s="139"/>
      <c r="ACF15" s="139"/>
      <c r="ACG15" s="139"/>
      <c r="ACH15" s="139"/>
      <c r="ACI15" s="139"/>
      <c r="ACJ15" s="139"/>
      <c r="ACK15" s="139"/>
      <c r="ACL15" s="139"/>
      <c r="ACM15" s="139"/>
      <c r="ACN15" s="139"/>
      <c r="ACO15" s="139"/>
      <c r="ACP15" s="139"/>
      <c r="ACQ15" s="139"/>
      <c r="ACR15" s="139"/>
      <c r="ACS15" s="139"/>
      <c r="ACT15" s="139"/>
      <c r="ACU15" s="139"/>
      <c r="ACV15" s="139"/>
      <c r="ACW15" s="139"/>
      <c r="ACX15" s="139"/>
      <c r="ACY15" s="139"/>
      <c r="ACZ15" s="139"/>
      <c r="ADA15" s="139"/>
      <c r="ADB15" s="139"/>
      <c r="ADC15" s="139"/>
      <c r="ADD15" s="139"/>
      <c r="ADE15" s="139"/>
      <c r="ADF15" s="139"/>
      <c r="ADG15" s="139"/>
      <c r="ADH15" s="139"/>
      <c r="ADI15" s="139"/>
      <c r="ADJ15" s="139"/>
      <c r="ADK15" s="139"/>
      <c r="ADL15" s="139"/>
      <c r="ADM15" s="139"/>
      <c r="ADN15" s="139"/>
      <c r="ADO15" s="139"/>
      <c r="ADP15" s="139"/>
      <c r="ADQ15" s="139"/>
      <c r="ADR15" s="139"/>
      <c r="ADS15" s="139"/>
      <c r="ADT15" s="139"/>
      <c r="ADU15" s="139"/>
      <c r="ADV15" s="139"/>
      <c r="ADW15" s="139"/>
      <c r="ADX15" s="139"/>
      <c r="ADY15" s="139"/>
      <c r="ADZ15" s="139"/>
      <c r="AEA15" s="139"/>
      <c r="AEB15" s="139"/>
      <c r="AEC15" s="139"/>
      <c r="AED15" s="139"/>
      <c r="AEE15" s="139"/>
      <c r="AEF15" s="139"/>
      <c r="AEG15" s="139"/>
      <c r="AEH15" s="139"/>
      <c r="AEI15" s="139"/>
      <c r="AEJ15" s="139"/>
      <c r="AEK15" s="139"/>
      <c r="AEL15" s="139"/>
      <c r="AEM15" s="139"/>
      <c r="AEN15" s="139"/>
      <c r="AEO15" s="139"/>
      <c r="AEP15" s="139"/>
      <c r="AEQ15" s="139"/>
      <c r="AER15" s="139"/>
      <c r="AES15" s="139"/>
      <c r="AET15" s="139"/>
      <c r="AEU15" s="139"/>
      <c r="AEV15" s="139"/>
      <c r="AEW15" s="139"/>
      <c r="AEX15" s="139"/>
      <c r="AEY15" s="139"/>
      <c r="AEZ15" s="139"/>
      <c r="AFA15" s="139"/>
      <c r="AFB15" s="139"/>
      <c r="AFC15" s="139"/>
      <c r="AFD15" s="139"/>
      <c r="AFE15" s="139"/>
      <c r="AFF15" s="139"/>
      <c r="AFG15" s="139"/>
      <c r="AFH15" s="139"/>
      <c r="AFI15" s="139"/>
      <c r="AFJ15" s="139"/>
      <c r="AFK15" s="139"/>
      <c r="AFL15" s="139"/>
      <c r="AFM15" s="139"/>
      <c r="AFN15" s="139"/>
      <c r="AFO15" s="139"/>
      <c r="AFP15" s="139"/>
      <c r="AFQ15" s="139"/>
      <c r="AFR15" s="139"/>
      <c r="AFS15" s="139"/>
      <c r="AFT15" s="139"/>
      <c r="AFU15" s="139"/>
      <c r="AFV15" s="139"/>
      <c r="AFW15" s="139"/>
      <c r="AFX15" s="139"/>
      <c r="AFY15" s="139"/>
      <c r="AFZ15" s="139"/>
      <c r="AGA15" s="139"/>
      <c r="AGB15" s="139"/>
      <c r="AGC15" s="139"/>
      <c r="AGD15" s="139"/>
      <c r="AGE15" s="139"/>
      <c r="AGF15" s="139"/>
      <c r="AGG15" s="139"/>
      <c r="AGH15" s="139"/>
      <c r="AGI15" s="139"/>
      <c r="AGJ15" s="139"/>
      <c r="AGK15" s="139"/>
      <c r="AGL15" s="139"/>
      <c r="AGM15" s="139"/>
      <c r="AGN15" s="139"/>
      <c r="AGO15" s="139"/>
      <c r="AGP15" s="139"/>
      <c r="AGQ15" s="139"/>
      <c r="AGR15" s="139"/>
      <c r="AGS15" s="139"/>
      <c r="AGT15" s="139"/>
      <c r="AGU15" s="139"/>
      <c r="AGV15" s="139"/>
      <c r="AGW15" s="139"/>
      <c r="AGX15" s="139"/>
      <c r="AGY15" s="139"/>
      <c r="AGZ15" s="139"/>
      <c r="AHA15" s="139"/>
      <c r="AHB15" s="139"/>
      <c r="AHC15" s="139"/>
      <c r="AHD15" s="139"/>
      <c r="AHE15" s="139"/>
      <c r="AHF15" s="139"/>
      <c r="AHG15" s="139"/>
      <c r="AHH15" s="139"/>
      <c r="AHI15" s="139"/>
      <c r="AHJ15" s="139"/>
      <c r="AHK15" s="139"/>
      <c r="AHL15" s="139"/>
      <c r="AHM15" s="139"/>
      <c r="AHN15" s="139"/>
      <c r="AHO15" s="139"/>
      <c r="AHP15" s="139"/>
      <c r="AHQ15" s="139"/>
      <c r="AHR15" s="139"/>
      <c r="AHS15" s="139"/>
      <c r="AHT15" s="139"/>
      <c r="AHU15" s="139"/>
      <c r="AHV15" s="139"/>
      <c r="AHW15" s="139"/>
      <c r="AHX15" s="139"/>
      <c r="AHY15" s="139"/>
      <c r="AHZ15" s="139"/>
      <c r="AIA15" s="139"/>
      <c r="AIB15" s="139"/>
      <c r="AIC15" s="139"/>
      <c r="AID15" s="139"/>
      <c r="AIE15" s="139"/>
      <c r="AIF15" s="139"/>
      <c r="AIG15" s="139"/>
      <c r="AIH15" s="139"/>
      <c r="AII15" s="139"/>
      <c r="AIJ15" s="139"/>
      <c r="AIK15" s="139"/>
      <c r="AIL15" s="139"/>
      <c r="AIM15" s="139"/>
      <c r="AIN15" s="139"/>
      <c r="AIO15" s="139"/>
      <c r="AIP15" s="139"/>
      <c r="AIQ15" s="139"/>
      <c r="AIR15" s="139"/>
      <c r="AIS15" s="139"/>
      <c r="AIT15" s="139"/>
      <c r="AIU15" s="139"/>
      <c r="AIV15" s="139"/>
      <c r="AIW15" s="139"/>
      <c r="AIX15" s="139"/>
      <c r="AIY15" s="139"/>
      <c r="AIZ15" s="139"/>
      <c r="AJA15" s="139"/>
      <c r="AJB15" s="139"/>
      <c r="AJC15" s="139"/>
      <c r="AJD15" s="139"/>
      <c r="AJE15" s="139"/>
      <c r="AJF15" s="139"/>
      <c r="AJG15" s="139"/>
      <c r="AJH15" s="139"/>
      <c r="AJI15" s="139"/>
      <c r="AJJ15" s="139"/>
      <c r="AJK15" s="139"/>
      <c r="AJL15" s="139"/>
      <c r="AJM15" s="139"/>
      <c r="AJN15" s="139"/>
      <c r="AJO15" s="139"/>
      <c r="AJP15" s="139"/>
      <c r="AJQ15" s="139"/>
      <c r="AJR15" s="139"/>
      <c r="AJS15" s="139"/>
      <c r="AJT15" s="139"/>
      <c r="AJU15" s="139"/>
      <c r="AJV15" s="139"/>
      <c r="AJW15" s="139"/>
      <c r="AJX15" s="139"/>
      <c r="AJY15" s="139"/>
      <c r="AJZ15" s="139"/>
      <c r="AKA15" s="139"/>
      <c r="AKB15" s="139"/>
      <c r="AKC15" s="139"/>
      <c r="AKD15" s="139"/>
      <c r="AKE15" s="139"/>
      <c r="AKF15" s="139"/>
      <c r="AKG15" s="139"/>
      <c r="AKH15" s="139"/>
      <c r="AKI15" s="139"/>
      <c r="AKJ15" s="139"/>
      <c r="AKK15" s="139"/>
      <c r="AKL15" s="139"/>
      <c r="AKM15" s="139"/>
      <c r="AKN15" s="139"/>
      <c r="AKO15" s="139"/>
      <c r="AKP15" s="139"/>
      <c r="AKQ15" s="139"/>
      <c r="AKR15" s="139"/>
      <c r="AKS15" s="139"/>
      <c r="AKT15" s="139"/>
      <c r="AKU15" s="139"/>
      <c r="AKV15" s="139"/>
      <c r="AKW15" s="139"/>
      <c r="AKX15" s="139"/>
      <c r="AKY15" s="139"/>
      <c r="AKZ15" s="139"/>
      <c r="ALA15" s="139"/>
      <c r="ALB15" s="139"/>
      <c r="ALC15" s="139"/>
      <c r="ALD15" s="139"/>
      <c r="ALE15" s="139"/>
      <c r="ALF15" s="139"/>
      <c r="ALG15" s="139"/>
      <c r="ALH15" s="139"/>
      <c r="ALI15" s="139"/>
      <c r="ALJ15" s="139"/>
      <c r="ALK15" s="139"/>
      <c r="ALL15" s="139"/>
      <c r="ALM15" s="139"/>
      <c r="ALN15" s="139"/>
      <c r="ALO15" s="139"/>
      <c r="ALP15" s="139"/>
      <c r="ALQ15" s="139"/>
      <c r="ALR15" s="139"/>
      <c r="ALS15" s="139"/>
      <c r="ALT15" s="139"/>
      <c r="ALU15" s="139"/>
      <c r="ALV15" s="139"/>
      <c r="ALW15" s="139"/>
      <c r="ALX15" s="139"/>
      <c r="ALY15" s="139"/>
      <c r="ALZ15" s="139"/>
      <c r="AMA15" s="139"/>
      <c r="AMB15" s="139"/>
      <c r="AMC15" s="139"/>
      <c r="AMD15" s="139"/>
      <c r="AME15" s="139"/>
      <c r="AMF15" s="139"/>
    </row>
    <row r="16" spans="1:1024" s="172" customFormat="1" x14ac:dyDescent="0.25">
      <c r="A16" s="168" t="s">
        <v>19</v>
      </c>
      <c r="B16" s="173">
        <f t="shared" ref="B16:K16" si="13">(B14-1)*B12+B15</f>
        <v>3</v>
      </c>
      <c r="C16" s="173">
        <f t="shared" si="13"/>
        <v>671.08863000000008</v>
      </c>
      <c r="D16" s="173">
        <f t="shared" si="13"/>
        <v>335.54431000000005</v>
      </c>
      <c r="E16" s="173">
        <f t="shared" si="13"/>
        <v>3</v>
      </c>
      <c r="F16" s="173">
        <f t="shared" si="13"/>
        <v>7</v>
      </c>
      <c r="G16" s="173">
        <f t="shared" si="13"/>
        <v>25.5</v>
      </c>
      <c r="H16" s="173">
        <f t="shared" si="13"/>
        <v>63.75</v>
      </c>
      <c r="I16" s="173">
        <f t="shared" si="13"/>
        <v>63.75</v>
      </c>
      <c r="J16" s="173">
        <f t="shared" si="13"/>
        <v>63.75</v>
      </c>
      <c r="K16" s="173">
        <f t="shared" si="13"/>
        <v>63</v>
      </c>
      <c r="L16" s="170"/>
    </row>
    <row r="17" spans="1:1020" s="140" customFormat="1" x14ac:dyDescent="0.25">
      <c r="A17" s="160" t="s">
        <v>20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61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  <c r="DX17" s="139"/>
      <c r="DY17" s="139"/>
      <c r="DZ17" s="139"/>
      <c r="EA17" s="139"/>
      <c r="EB17" s="139"/>
      <c r="EC17" s="139"/>
      <c r="ED17" s="139"/>
      <c r="EE17" s="139"/>
      <c r="EF17" s="139"/>
      <c r="EG17" s="139"/>
      <c r="EH17" s="139"/>
      <c r="EI17" s="139"/>
      <c r="EJ17" s="139"/>
      <c r="EK17" s="139"/>
      <c r="EL17" s="139"/>
      <c r="EM17" s="139"/>
      <c r="EN17" s="139"/>
      <c r="EO17" s="139"/>
      <c r="EP17" s="139"/>
      <c r="EQ17" s="139"/>
      <c r="ER17" s="139"/>
      <c r="ES17" s="139"/>
      <c r="ET17" s="139"/>
      <c r="EU17" s="139"/>
      <c r="EV17" s="139"/>
      <c r="EW17" s="139"/>
      <c r="EX17" s="139"/>
      <c r="EY17" s="139"/>
      <c r="EZ17" s="139"/>
      <c r="FA17" s="139"/>
      <c r="FB17" s="139"/>
      <c r="FC17" s="139"/>
      <c r="FD17" s="139"/>
      <c r="FE17" s="139"/>
      <c r="FF17" s="139"/>
      <c r="FG17" s="139"/>
      <c r="FH17" s="139"/>
      <c r="FI17" s="139"/>
      <c r="FJ17" s="139"/>
      <c r="FK17" s="139"/>
      <c r="FL17" s="139"/>
      <c r="FM17" s="139"/>
      <c r="FN17" s="139"/>
      <c r="FO17" s="139"/>
      <c r="FP17" s="139"/>
      <c r="FQ17" s="139"/>
      <c r="FR17" s="139"/>
      <c r="FS17" s="139"/>
      <c r="FT17" s="139"/>
      <c r="FU17" s="139"/>
      <c r="FV17" s="139"/>
      <c r="FW17" s="139"/>
      <c r="FX17" s="139"/>
      <c r="FY17" s="139"/>
      <c r="FZ17" s="139"/>
      <c r="GA17" s="139"/>
      <c r="GB17" s="139"/>
      <c r="GC17" s="139"/>
      <c r="GD17" s="139"/>
      <c r="GE17" s="139"/>
      <c r="GF17" s="139"/>
      <c r="GG17" s="139"/>
      <c r="GH17" s="139"/>
      <c r="GI17" s="139"/>
      <c r="GJ17" s="139"/>
      <c r="GK17" s="139"/>
      <c r="GL17" s="139"/>
      <c r="GM17" s="139"/>
      <c r="GN17" s="139"/>
      <c r="GO17" s="139"/>
      <c r="GP17" s="139"/>
      <c r="GQ17" s="139"/>
      <c r="GR17" s="139"/>
      <c r="GS17" s="139"/>
      <c r="GT17" s="139"/>
      <c r="GU17" s="139"/>
      <c r="GV17" s="139"/>
      <c r="GW17" s="139"/>
      <c r="GX17" s="139"/>
      <c r="GY17" s="139"/>
      <c r="GZ17" s="139"/>
      <c r="HA17" s="139"/>
      <c r="HB17" s="139"/>
      <c r="HC17" s="139"/>
      <c r="HD17" s="139"/>
      <c r="HE17" s="139"/>
      <c r="HF17" s="139"/>
      <c r="HG17" s="139"/>
      <c r="HH17" s="139"/>
      <c r="HI17" s="139"/>
      <c r="HJ17" s="139"/>
      <c r="HK17" s="139"/>
      <c r="HL17" s="139"/>
      <c r="HM17" s="139"/>
      <c r="HN17" s="139"/>
      <c r="HO17" s="139"/>
      <c r="HP17" s="139"/>
      <c r="HQ17" s="139"/>
      <c r="HR17" s="139"/>
      <c r="HS17" s="139"/>
      <c r="HT17" s="139"/>
      <c r="HU17" s="139"/>
      <c r="HV17" s="139"/>
      <c r="HW17" s="139"/>
      <c r="HX17" s="139"/>
      <c r="HY17" s="139"/>
      <c r="HZ17" s="139"/>
      <c r="IA17" s="139"/>
      <c r="IB17" s="139"/>
      <c r="IC17" s="139"/>
      <c r="ID17" s="139"/>
      <c r="IE17" s="139"/>
      <c r="IF17" s="139"/>
      <c r="IG17" s="139"/>
      <c r="IH17" s="139"/>
      <c r="II17" s="139"/>
      <c r="IJ17" s="139"/>
      <c r="IK17" s="139"/>
      <c r="IL17" s="139"/>
      <c r="IM17" s="139"/>
      <c r="IN17" s="139"/>
      <c r="IO17" s="139"/>
      <c r="IP17" s="139"/>
      <c r="IQ17" s="139"/>
      <c r="IR17" s="139"/>
      <c r="IS17" s="139"/>
      <c r="IT17" s="139"/>
      <c r="IU17" s="139"/>
      <c r="IV17" s="139"/>
      <c r="IW17" s="139"/>
      <c r="IX17" s="139"/>
      <c r="IY17" s="139"/>
      <c r="IZ17" s="139"/>
      <c r="JA17" s="139"/>
      <c r="JB17" s="139"/>
      <c r="JC17" s="139"/>
      <c r="JD17" s="139"/>
      <c r="JE17" s="139"/>
      <c r="JF17" s="139"/>
      <c r="JG17" s="139"/>
      <c r="JH17" s="139"/>
      <c r="JI17" s="139"/>
      <c r="JJ17" s="139"/>
      <c r="JK17" s="139"/>
      <c r="JL17" s="139"/>
      <c r="JM17" s="139"/>
      <c r="JN17" s="139"/>
      <c r="JO17" s="139"/>
      <c r="JP17" s="139"/>
      <c r="JQ17" s="139"/>
      <c r="JR17" s="139"/>
      <c r="JS17" s="139"/>
      <c r="JT17" s="139"/>
      <c r="JU17" s="139"/>
      <c r="JV17" s="139"/>
      <c r="JW17" s="139"/>
      <c r="JX17" s="139"/>
      <c r="JY17" s="139"/>
      <c r="JZ17" s="139"/>
      <c r="KA17" s="139"/>
      <c r="KB17" s="139"/>
      <c r="KC17" s="139"/>
      <c r="KD17" s="139"/>
      <c r="KE17" s="139"/>
      <c r="KF17" s="139"/>
      <c r="KG17" s="139"/>
      <c r="KH17" s="139"/>
      <c r="KI17" s="139"/>
      <c r="KJ17" s="139"/>
      <c r="KK17" s="139"/>
      <c r="KL17" s="139"/>
      <c r="KM17" s="139"/>
      <c r="KN17" s="139"/>
      <c r="KO17" s="139"/>
      <c r="KP17" s="139"/>
      <c r="KQ17" s="139"/>
      <c r="KR17" s="139"/>
      <c r="KS17" s="139"/>
      <c r="KT17" s="139"/>
      <c r="KU17" s="139"/>
      <c r="KV17" s="139"/>
      <c r="KW17" s="139"/>
      <c r="KX17" s="139"/>
      <c r="KY17" s="139"/>
      <c r="KZ17" s="139"/>
      <c r="LA17" s="139"/>
      <c r="LB17" s="139"/>
      <c r="LC17" s="139"/>
      <c r="LD17" s="139"/>
      <c r="LE17" s="139"/>
      <c r="LF17" s="139"/>
      <c r="LG17" s="139"/>
      <c r="LH17" s="139"/>
      <c r="LI17" s="139"/>
      <c r="LJ17" s="139"/>
      <c r="LK17" s="139"/>
      <c r="LL17" s="139"/>
      <c r="LM17" s="139"/>
      <c r="LN17" s="139"/>
      <c r="LO17" s="139"/>
      <c r="LP17" s="139"/>
      <c r="LQ17" s="139"/>
      <c r="LR17" s="139"/>
      <c r="LS17" s="139"/>
      <c r="LT17" s="139"/>
      <c r="LU17" s="139"/>
      <c r="LV17" s="139"/>
      <c r="LW17" s="139"/>
      <c r="LX17" s="139"/>
      <c r="LY17" s="139"/>
      <c r="LZ17" s="139"/>
      <c r="MA17" s="139"/>
      <c r="MB17" s="139"/>
      <c r="MC17" s="139"/>
      <c r="MD17" s="139"/>
      <c r="ME17" s="139"/>
      <c r="MF17" s="139"/>
      <c r="MG17" s="139"/>
      <c r="MH17" s="139"/>
      <c r="MI17" s="139"/>
      <c r="MJ17" s="139"/>
      <c r="MK17" s="139"/>
      <c r="ML17" s="139"/>
      <c r="MM17" s="139"/>
      <c r="MN17" s="139"/>
      <c r="MO17" s="139"/>
      <c r="MP17" s="139"/>
      <c r="MQ17" s="139"/>
      <c r="MR17" s="139"/>
      <c r="MS17" s="139"/>
      <c r="MT17" s="139"/>
      <c r="MU17" s="139"/>
      <c r="MV17" s="139"/>
      <c r="MW17" s="139"/>
      <c r="MX17" s="139"/>
      <c r="MY17" s="139"/>
      <c r="MZ17" s="139"/>
      <c r="NA17" s="139"/>
      <c r="NB17" s="139"/>
      <c r="NC17" s="139"/>
      <c r="ND17" s="139"/>
      <c r="NE17" s="139"/>
      <c r="NF17" s="139"/>
      <c r="NG17" s="139"/>
      <c r="NH17" s="139"/>
      <c r="NI17" s="139"/>
      <c r="NJ17" s="139"/>
      <c r="NK17" s="139"/>
      <c r="NL17" s="139"/>
      <c r="NM17" s="139"/>
      <c r="NN17" s="139"/>
      <c r="NO17" s="139"/>
      <c r="NP17" s="139"/>
      <c r="NQ17" s="139"/>
      <c r="NR17" s="139"/>
      <c r="NS17" s="139"/>
      <c r="NT17" s="139"/>
      <c r="NU17" s="139"/>
      <c r="NV17" s="139"/>
      <c r="NW17" s="139"/>
      <c r="NX17" s="139"/>
      <c r="NY17" s="139"/>
      <c r="NZ17" s="139"/>
      <c r="OA17" s="139"/>
      <c r="OB17" s="139"/>
      <c r="OC17" s="139"/>
      <c r="OD17" s="139"/>
      <c r="OE17" s="139"/>
      <c r="OF17" s="139"/>
      <c r="OG17" s="139"/>
      <c r="OH17" s="139"/>
      <c r="OI17" s="139"/>
      <c r="OJ17" s="139"/>
      <c r="OK17" s="139"/>
      <c r="OL17" s="139"/>
      <c r="OM17" s="139"/>
      <c r="ON17" s="139"/>
      <c r="OO17" s="139"/>
      <c r="OP17" s="139"/>
      <c r="OQ17" s="139"/>
      <c r="OR17" s="139"/>
      <c r="OS17" s="139"/>
      <c r="OT17" s="139"/>
      <c r="OU17" s="139"/>
      <c r="OV17" s="139"/>
      <c r="OW17" s="139"/>
      <c r="OX17" s="139"/>
      <c r="OY17" s="139"/>
      <c r="OZ17" s="139"/>
      <c r="PA17" s="139"/>
      <c r="PB17" s="139"/>
      <c r="PC17" s="139"/>
      <c r="PD17" s="139"/>
      <c r="PE17" s="139"/>
      <c r="PF17" s="139"/>
      <c r="PG17" s="139"/>
      <c r="PH17" s="139"/>
      <c r="PI17" s="139"/>
      <c r="PJ17" s="139"/>
      <c r="PK17" s="139"/>
      <c r="PL17" s="139"/>
      <c r="PM17" s="139"/>
      <c r="PN17" s="139"/>
      <c r="PO17" s="139"/>
      <c r="PP17" s="139"/>
      <c r="PQ17" s="139"/>
      <c r="PR17" s="139"/>
      <c r="PS17" s="139"/>
      <c r="PT17" s="139"/>
      <c r="PU17" s="139"/>
      <c r="PV17" s="139"/>
      <c r="PW17" s="139"/>
      <c r="PX17" s="139"/>
      <c r="PY17" s="139"/>
      <c r="PZ17" s="139"/>
      <c r="QA17" s="139"/>
      <c r="QB17" s="139"/>
      <c r="QC17" s="139"/>
      <c r="QD17" s="139"/>
      <c r="QE17" s="139"/>
      <c r="QF17" s="139"/>
      <c r="QG17" s="139"/>
      <c r="QH17" s="139"/>
      <c r="QI17" s="139"/>
      <c r="QJ17" s="139"/>
      <c r="QK17" s="139"/>
      <c r="QL17" s="139"/>
      <c r="QM17" s="139"/>
      <c r="QN17" s="139"/>
      <c r="QO17" s="139"/>
      <c r="QP17" s="139"/>
      <c r="QQ17" s="139"/>
      <c r="QR17" s="139"/>
      <c r="QS17" s="139"/>
      <c r="QT17" s="139"/>
      <c r="QU17" s="139"/>
      <c r="QV17" s="139"/>
      <c r="QW17" s="139"/>
      <c r="QX17" s="139"/>
      <c r="QY17" s="139"/>
      <c r="QZ17" s="139"/>
      <c r="RA17" s="139"/>
      <c r="RB17" s="139"/>
      <c r="RC17" s="139"/>
      <c r="RD17" s="139"/>
      <c r="RE17" s="139"/>
      <c r="RF17" s="139"/>
      <c r="RG17" s="139"/>
      <c r="RH17" s="139"/>
      <c r="RI17" s="139"/>
      <c r="RJ17" s="139"/>
      <c r="RK17" s="139"/>
      <c r="RL17" s="139"/>
      <c r="RM17" s="139"/>
      <c r="RN17" s="139"/>
      <c r="RO17" s="139"/>
      <c r="RP17" s="139"/>
      <c r="RQ17" s="139"/>
      <c r="RR17" s="139"/>
      <c r="RS17" s="139"/>
      <c r="RT17" s="139"/>
      <c r="RU17" s="139"/>
      <c r="RV17" s="139"/>
      <c r="RW17" s="139"/>
      <c r="RX17" s="139"/>
      <c r="RY17" s="139"/>
      <c r="RZ17" s="139"/>
      <c r="SA17" s="139"/>
      <c r="SB17" s="139"/>
      <c r="SC17" s="139"/>
      <c r="SD17" s="139"/>
      <c r="SE17" s="139"/>
      <c r="SF17" s="139"/>
      <c r="SG17" s="139"/>
      <c r="SH17" s="139"/>
      <c r="SI17" s="139"/>
      <c r="SJ17" s="139"/>
      <c r="SK17" s="139"/>
      <c r="SL17" s="139"/>
      <c r="SM17" s="139"/>
      <c r="SN17" s="139"/>
      <c r="SO17" s="139"/>
      <c r="SP17" s="139"/>
      <c r="SQ17" s="139"/>
      <c r="SR17" s="139"/>
      <c r="SS17" s="139"/>
      <c r="ST17" s="139"/>
      <c r="SU17" s="139"/>
      <c r="SV17" s="139"/>
      <c r="SW17" s="139"/>
      <c r="SX17" s="139"/>
      <c r="SY17" s="139"/>
      <c r="SZ17" s="139"/>
      <c r="TA17" s="139"/>
      <c r="TB17" s="139"/>
      <c r="TC17" s="139"/>
      <c r="TD17" s="139"/>
      <c r="TE17" s="139"/>
      <c r="TF17" s="139"/>
      <c r="TG17" s="139"/>
      <c r="TH17" s="139"/>
      <c r="TI17" s="139"/>
      <c r="TJ17" s="139"/>
      <c r="TK17" s="139"/>
      <c r="TL17" s="139"/>
      <c r="TM17" s="139"/>
      <c r="TN17" s="139"/>
      <c r="TO17" s="139"/>
      <c r="TP17" s="139"/>
      <c r="TQ17" s="139"/>
      <c r="TR17" s="139"/>
      <c r="TS17" s="139"/>
      <c r="TT17" s="139"/>
      <c r="TU17" s="139"/>
      <c r="TV17" s="139"/>
      <c r="TW17" s="139"/>
      <c r="TX17" s="139"/>
      <c r="TY17" s="139"/>
      <c r="TZ17" s="139"/>
      <c r="UA17" s="139"/>
      <c r="UB17" s="139"/>
      <c r="UC17" s="139"/>
      <c r="UD17" s="139"/>
      <c r="UE17" s="139"/>
      <c r="UF17" s="139"/>
      <c r="UG17" s="139"/>
      <c r="UH17" s="139"/>
      <c r="UI17" s="139"/>
      <c r="UJ17" s="139"/>
      <c r="UK17" s="139"/>
      <c r="UL17" s="139"/>
      <c r="UM17" s="139"/>
      <c r="UN17" s="139"/>
      <c r="UO17" s="139"/>
      <c r="UP17" s="139"/>
      <c r="UQ17" s="139"/>
      <c r="UR17" s="139"/>
      <c r="US17" s="139"/>
      <c r="UT17" s="139"/>
      <c r="UU17" s="139"/>
      <c r="UV17" s="139"/>
      <c r="UW17" s="139"/>
      <c r="UX17" s="139"/>
      <c r="UY17" s="139"/>
      <c r="UZ17" s="139"/>
      <c r="VA17" s="139"/>
      <c r="VB17" s="139"/>
      <c r="VC17" s="139"/>
      <c r="VD17" s="139"/>
      <c r="VE17" s="139"/>
      <c r="VF17" s="139"/>
      <c r="VG17" s="139"/>
      <c r="VH17" s="139"/>
      <c r="VI17" s="139"/>
      <c r="VJ17" s="139"/>
      <c r="VK17" s="139"/>
      <c r="VL17" s="139"/>
      <c r="VM17" s="139"/>
      <c r="VN17" s="139"/>
      <c r="VO17" s="139"/>
      <c r="VP17" s="139"/>
      <c r="VQ17" s="139"/>
      <c r="VR17" s="139"/>
      <c r="VS17" s="139"/>
      <c r="VT17" s="139"/>
      <c r="VU17" s="139"/>
      <c r="VV17" s="139"/>
      <c r="VW17" s="139"/>
      <c r="VX17" s="139"/>
      <c r="VY17" s="139"/>
      <c r="VZ17" s="139"/>
      <c r="WA17" s="139"/>
      <c r="WB17" s="139"/>
      <c r="WC17" s="139"/>
      <c r="WD17" s="139"/>
      <c r="WE17" s="139"/>
      <c r="WF17" s="139"/>
      <c r="WG17" s="139"/>
      <c r="WH17" s="139"/>
      <c r="WI17" s="139"/>
      <c r="WJ17" s="139"/>
      <c r="WK17" s="139"/>
      <c r="WL17" s="139"/>
      <c r="WM17" s="139"/>
      <c r="WN17" s="139"/>
      <c r="WO17" s="139"/>
      <c r="WP17" s="139"/>
      <c r="WQ17" s="139"/>
      <c r="WR17" s="139"/>
      <c r="WS17" s="139"/>
      <c r="WT17" s="139"/>
      <c r="WU17" s="139"/>
      <c r="WV17" s="139"/>
      <c r="WW17" s="139"/>
      <c r="WX17" s="139"/>
      <c r="WY17" s="139"/>
      <c r="WZ17" s="139"/>
      <c r="XA17" s="139"/>
      <c r="XB17" s="139"/>
      <c r="XC17" s="139"/>
      <c r="XD17" s="139"/>
      <c r="XE17" s="139"/>
      <c r="XF17" s="139"/>
      <c r="XG17" s="139"/>
      <c r="XH17" s="139"/>
      <c r="XI17" s="139"/>
      <c r="XJ17" s="139"/>
      <c r="XK17" s="139"/>
      <c r="XL17" s="139"/>
      <c r="XM17" s="139"/>
      <c r="XN17" s="139"/>
      <c r="XO17" s="139"/>
      <c r="XP17" s="139"/>
      <c r="XQ17" s="139"/>
      <c r="XR17" s="139"/>
      <c r="XS17" s="139"/>
      <c r="XT17" s="139"/>
      <c r="XU17" s="139"/>
      <c r="XV17" s="139"/>
      <c r="XW17" s="139"/>
      <c r="XX17" s="139"/>
      <c r="XY17" s="139"/>
      <c r="XZ17" s="139"/>
      <c r="YA17" s="139"/>
      <c r="YB17" s="139"/>
      <c r="YC17" s="139"/>
      <c r="YD17" s="139"/>
      <c r="YE17" s="139"/>
      <c r="YF17" s="139"/>
      <c r="YG17" s="139"/>
      <c r="YH17" s="139"/>
      <c r="YI17" s="139"/>
      <c r="YJ17" s="139"/>
      <c r="YK17" s="139"/>
      <c r="YL17" s="139"/>
      <c r="YM17" s="139"/>
      <c r="YN17" s="139"/>
      <c r="YO17" s="139"/>
      <c r="YP17" s="139"/>
      <c r="YQ17" s="139"/>
      <c r="YR17" s="139"/>
      <c r="YS17" s="139"/>
      <c r="YT17" s="139"/>
      <c r="YU17" s="139"/>
      <c r="YV17" s="139"/>
      <c r="YW17" s="139"/>
      <c r="YX17" s="139"/>
      <c r="YY17" s="139"/>
      <c r="YZ17" s="139"/>
      <c r="ZA17" s="139"/>
      <c r="ZB17" s="139"/>
      <c r="ZC17" s="139"/>
      <c r="ZD17" s="139"/>
      <c r="ZE17" s="139"/>
      <c r="ZF17" s="139"/>
      <c r="ZG17" s="139"/>
      <c r="ZH17" s="139"/>
      <c r="ZI17" s="139"/>
      <c r="ZJ17" s="139"/>
      <c r="ZK17" s="139"/>
      <c r="ZL17" s="139"/>
      <c r="ZM17" s="139"/>
      <c r="ZN17" s="139"/>
      <c r="ZO17" s="139"/>
      <c r="ZP17" s="139"/>
      <c r="ZQ17" s="139"/>
      <c r="ZR17" s="139"/>
      <c r="ZS17" s="139"/>
      <c r="ZT17" s="139"/>
      <c r="ZU17" s="139"/>
      <c r="ZV17" s="139"/>
      <c r="ZW17" s="139"/>
      <c r="ZX17" s="139"/>
      <c r="ZY17" s="139"/>
      <c r="ZZ17" s="139"/>
      <c r="AAA17" s="139"/>
      <c r="AAB17" s="139"/>
      <c r="AAC17" s="139"/>
      <c r="AAD17" s="139"/>
      <c r="AAE17" s="139"/>
      <c r="AAF17" s="139"/>
      <c r="AAG17" s="139"/>
      <c r="AAH17" s="139"/>
      <c r="AAI17" s="139"/>
      <c r="AAJ17" s="139"/>
      <c r="AAK17" s="139"/>
      <c r="AAL17" s="139"/>
      <c r="AAM17" s="139"/>
      <c r="AAN17" s="139"/>
      <c r="AAO17" s="139"/>
      <c r="AAP17" s="139"/>
      <c r="AAQ17" s="139"/>
      <c r="AAR17" s="139"/>
      <c r="AAS17" s="139"/>
      <c r="AAT17" s="139"/>
      <c r="AAU17" s="139"/>
      <c r="AAV17" s="139"/>
      <c r="AAW17" s="139"/>
      <c r="AAX17" s="139"/>
      <c r="AAY17" s="139"/>
      <c r="AAZ17" s="139"/>
      <c r="ABA17" s="139"/>
      <c r="ABB17" s="139"/>
      <c r="ABC17" s="139"/>
      <c r="ABD17" s="139"/>
      <c r="ABE17" s="139"/>
      <c r="ABF17" s="139"/>
      <c r="ABG17" s="139"/>
      <c r="ABH17" s="139"/>
      <c r="ABI17" s="139"/>
      <c r="ABJ17" s="139"/>
      <c r="ABK17" s="139"/>
      <c r="ABL17" s="139"/>
      <c r="ABM17" s="139"/>
      <c r="ABN17" s="139"/>
      <c r="ABO17" s="139"/>
      <c r="ABP17" s="139"/>
      <c r="ABQ17" s="139"/>
      <c r="ABR17" s="139"/>
      <c r="ABS17" s="139"/>
      <c r="ABT17" s="139"/>
      <c r="ABU17" s="139"/>
      <c r="ABV17" s="139"/>
      <c r="ABW17" s="139"/>
      <c r="ABX17" s="139"/>
      <c r="ABY17" s="139"/>
      <c r="ABZ17" s="139"/>
      <c r="ACA17" s="139"/>
      <c r="ACB17" s="139"/>
      <c r="ACC17" s="139"/>
      <c r="ACD17" s="139"/>
      <c r="ACE17" s="139"/>
      <c r="ACF17" s="139"/>
      <c r="ACG17" s="139"/>
      <c r="ACH17" s="139"/>
      <c r="ACI17" s="139"/>
      <c r="ACJ17" s="139"/>
      <c r="ACK17" s="139"/>
      <c r="ACL17" s="139"/>
      <c r="ACM17" s="139"/>
      <c r="ACN17" s="139"/>
      <c r="ACO17" s="139"/>
      <c r="ACP17" s="139"/>
      <c r="ACQ17" s="139"/>
      <c r="ACR17" s="139"/>
      <c r="ACS17" s="139"/>
      <c r="ACT17" s="139"/>
      <c r="ACU17" s="139"/>
      <c r="ACV17" s="139"/>
      <c r="ACW17" s="139"/>
      <c r="ACX17" s="139"/>
      <c r="ACY17" s="139"/>
      <c r="ACZ17" s="139"/>
      <c r="ADA17" s="139"/>
      <c r="ADB17" s="139"/>
      <c r="ADC17" s="139"/>
      <c r="ADD17" s="139"/>
      <c r="ADE17" s="139"/>
      <c r="ADF17" s="139"/>
      <c r="ADG17" s="139"/>
      <c r="ADH17" s="139"/>
      <c r="ADI17" s="139"/>
      <c r="ADJ17" s="139"/>
      <c r="ADK17" s="139"/>
      <c r="ADL17" s="139"/>
      <c r="ADM17" s="139"/>
      <c r="ADN17" s="139"/>
      <c r="ADO17" s="139"/>
      <c r="ADP17" s="139"/>
      <c r="ADQ17" s="139"/>
      <c r="ADR17" s="139"/>
      <c r="ADS17" s="139"/>
      <c r="ADT17" s="139"/>
      <c r="ADU17" s="139"/>
      <c r="ADV17" s="139"/>
      <c r="ADW17" s="139"/>
      <c r="ADX17" s="139"/>
      <c r="ADY17" s="139"/>
      <c r="ADZ17" s="139"/>
      <c r="AEA17" s="139"/>
      <c r="AEB17" s="139"/>
      <c r="AEC17" s="139"/>
      <c r="AED17" s="139"/>
      <c r="AEE17" s="139"/>
      <c r="AEF17" s="139"/>
      <c r="AEG17" s="139"/>
      <c r="AEH17" s="139"/>
      <c r="AEI17" s="139"/>
      <c r="AEJ17" s="139"/>
      <c r="AEK17" s="139"/>
      <c r="AEL17" s="139"/>
      <c r="AEM17" s="139"/>
      <c r="AEN17" s="139"/>
      <c r="AEO17" s="139"/>
      <c r="AEP17" s="139"/>
      <c r="AEQ17" s="139"/>
      <c r="AER17" s="139"/>
      <c r="AES17" s="139"/>
      <c r="AET17" s="139"/>
      <c r="AEU17" s="139"/>
      <c r="AEV17" s="139"/>
      <c r="AEW17" s="139"/>
      <c r="AEX17" s="139"/>
      <c r="AEY17" s="139"/>
      <c r="AEZ17" s="139"/>
      <c r="AFA17" s="139"/>
      <c r="AFB17" s="139"/>
      <c r="AFC17" s="139"/>
      <c r="AFD17" s="139"/>
      <c r="AFE17" s="139"/>
      <c r="AFF17" s="139"/>
      <c r="AFG17" s="139"/>
      <c r="AFH17" s="139"/>
      <c r="AFI17" s="139"/>
      <c r="AFJ17" s="139"/>
      <c r="AFK17" s="139"/>
      <c r="AFL17" s="139"/>
      <c r="AFM17" s="139"/>
      <c r="AFN17" s="139"/>
      <c r="AFO17" s="139"/>
      <c r="AFP17" s="139"/>
      <c r="AFQ17" s="139"/>
      <c r="AFR17" s="139"/>
      <c r="AFS17" s="139"/>
      <c r="AFT17" s="139"/>
      <c r="AFU17" s="139"/>
      <c r="AFV17" s="139"/>
      <c r="AFW17" s="139"/>
      <c r="AFX17" s="139"/>
      <c r="AFY17" s="139"/>
      <c r="AFZ17" s="139"/>
      <c r="AGA17" s="139"/>
      <c r="AGB17" s="139"/>
      <c r="AGC17" s="139"/>
      <c r="AGD17" s="139"/>
      <c r="AGE17" s="139"/>
      <c r="AGF17" s="139"/>
      <c r="AGG17" s="139"/>
      <c r="AGH17" s="139"/>
      <c r="AGI17" s="139"/>
      <c r="AGJ17" s="139"/>
      <c r="AGK17" s="139"/>
      <c r="AGL17" s="139"/>
      <c r="AGM17" s="139"/>
      <c r="AGN17" s="139"/>
      <c r="AGO17" s="139"/>
      <c r="AGP17" s="139"/>
      <c r="AGQ17" s="139"/>
      <c r="AGR17" s="139"/>
      <c r="AGS17" s="139"/>
      <c r="AGT17" s="139"/>
      <c r="AGU17" s="139"/>
      <c r="AGV17" s="139"/>
      <c r="AGW17" s="139"/>
      <c r="AGX17" s="139"/>
      <c r="AGY17" s="139"/>
      <c r="AGZ17" s="139"/>
      <c r="AHA17" s="139"/>
      <c r="AHB17" s="139"/>
      <c r="AHC17" s="139"/>
      <c r="AHD17" s="139"/>
      <c r="AHE17" s="139"/>
      <c r="AHF17" s="139"/>
      <c r="AHG17" s="139"/>
      <c r="AHH17" s="139"/>
      <c r="AHI17" s="139"/>
      <c r="AHJ17" s="139"/>
      <c r="AHK17" s="139"/>
      <c r="AHL17" s="139"/>
      <c r="AHM17" s="139"/>
      <c r="AHN17" s="139"/>
      <c r="AHO17" s="139"/>
      <c r="AHP17" s="139"/>
      <c r="AHQ17" s="139"/>
      <c r="AHR17" s="139"/>
      <c r="AHS17" s="139"/>
      <c r="AHT17" s="139"/>
      <c r="AHU17" s="139"/>
      <c r="AHV17" s="139"/>
      <c r="AHW17" s="139"/>
      <c r="AHX17" s="139"/>
      <c r="AHY17" s="139"/>
      <c r="AHZ17" s="139"/>
      <c r="AIA17" s="139"/>
      <c r="AIB17" s="139"/>
      <c r="AIC17" s="139"/>
      <c r="AID17" s="139"/>
      <c r="AIE17" s="139"/>
      <c r="AIF17" s="139"/>
      <c r="AIG17" s="139"/>
      <c r="AIH17" s="139"/>
      <c r="AII17" s="139"/>
      <c r="AIJ17" s="139"/>
      <c r="AIK17" s="139"/>
      <c r="AIL17" s="139"/>
      <c r="AIM17" s="139"/>
      <c r="AIN17" s="139"/>
      <c r="AIO17" s="139"/>
      <c r="AIP17" s="139"/>
      <c r="AIQ17" s="139"/>
      <c r="AIR17" s="139"/>
      <c r="AIS17" s="139"/>
      <c r="AIT17" s="139"/>
      <c r="AIU17" s="139"/>
      <c r="AIV17" s="139"/>
      <c r="AIW17" s="139"/>
      <c r="AIX17" s="139"/>
      <c r="AIY17" s="139"/>
      <c r="AIZ17" s="139"/>
      <c r="AJA17" s="139"/>
      <c r="AJB17" s="139"/>
      <c r="AJC17" s="139"/>
      <c r="AJD17" s="139"/>
      <c r="AJE17" s="139"/>
      <c r="AJF17" s="139"/>
      <c r="AJG17" s="139"/>
      <c r="AJH17" s="139"/>
      <c r="AJI17" s="139"/>
      <c r="AJJ17" s="139"/>
      <c r="AJK17" s="139"/>
      <c r="AJL17" s="139"/>
      <c r="AJM17" s="139"/>
      <c r="AJN17" s="139"/>
      <c r="AJO17" s="139"/>
      <c r="AJP17" s="139"/>
      <c r="AJQ17" s="139"/>
      <c r="AJR17" s="139"/>
      <c r="AJS17" s="139"/>
      <c r="AJT17" s="139"/>
      <c r="AJU17" s="139"/>
      <c r="AJV17" s="139"/>
      <c r="AJW17" s="139"/>
      <c r="AJX17" s="139"/>
      <c r="AJY17" s="139"/>
      <c r="AJZ17" s="139"/>
      <c r="AKA17" s="139"/>
      <c r="AKB17" s="139"/>
      <c r="AKC17" s="139"/>
      <c r="AKD17" s="139"/>
      <c r="AKE17" s="139"/>
      <c r="AKF17" s="139"/>
      <c r="AKG17" s="139"/>
      <c r="AKH17" s="139"/>
      <c r="AKI17" s="139"/>
      <c r="AKJ17" s="139"/>
      <c r="AKK17" s="139"/>
      <c r="AKL17" s="139"/>
      <c r="AKM17" s="139"/>
      <c r="AKN17" s="139"/>
      <c r="AKO17" s="139"/>
      <c r="AKP17" s="139"/>
      <c r="AKQ17" s="139"/>
      <c r="AKR17" s="139"/>
      <c r="AKS17" s="139"/>
      <c r="AKT17" s="139"/>
      <c r="AKU17" s="139"/>
      <c r="AKV17" s="139"/>
      <c r="AKW17" s="139"/>
      <c r="AKX17" s="139"/>
      <c r="AKY17" s="139"/>
      <c r="AKZ17" s="139"/>
      <c r="ALA17" s="139"/>
      <c r="ALB17" s="139"/>
      <c r="ALC17" s="139"/>
      <c r="ALD17" s="139"/>
      <c r="ALE17" s="139"/>
      <c r="ALF17" s="139"/>
      <c r="ALG17" s="139"/>
      <c r="ALH17" s="139"/>
      <c r="ALI17" s="139"/>
      <c r="ALJ17" s="139"/>
      <c r="ALK17" s="139"/>
      <c r="ALL17" s="139"/>
      <c r="ALM17" s="139"/>
      <c r="ALN17" s="139"/>
      <c r="ALO17" s="139"/>
      <c r="ALP17" s="139"/>
      <c r="ALQ17" s="139"/>
      <c r="ALR17" s="139"/>
      <c r="ALS17" s="139"/>
      <c r="ALT17" s="139"/>
      <c r="ALU17" s="139"/>
      <c r="ALV17" s="139"/>
      <c r="ALW17" s="139"/>
      <c r="ALX17" s="139"/>
      <c r="ALY17" s="139"/>
      <c r="ALZ17" s="139"/>
      <c r="AMA17" s="139"/>
      <c r="AMB17" s="139"/>
      <c r="AMC17" s="139"/>
      <c r="AMD17" s="139"/>
      <c r="AME17" s="139"/>
      <c r="AMF17" s="139"/>
    </row>
    <row r="18" spans="1:1020" s="140" customFormat="1" x14ac:dyDescent="0.25">
      <c r="A18" s="174" t="s">
        <v>21</v>
      </c>
      <c r="B18" s="119">
        <v>1</v>
      </c>
      <c r="C18" s="119">
        <v>360</v>
      </c>
      <c r="D18" s="119">
        <v>180</v>
      </c>
      <c r="E18" s="119">
        <v>3</v>
      </c>
      <c r="F18" s="119">
        <v>7</v>
      </c>
      <c r="G18" s="119">
        <v>25</v>
      </c>
      <c r="H18" s="119">
        <v>45</v>
      </c>
      <c r="I18" s="119">
        <v>1</v>
      </c>
      <c r="J18" s="119">
        <v>1</v>
      </c>
      <c r="K18" s="119">
        <v>0</v>
      </c>
      <c r="L18" s="189">
        <f>L13/8</f>
        <v>12</v>
      </c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139"/>
      <c r="DZ18" s="139"/>
      <c r="EA18" s="139"/>
      <c r="EB18" s="139"/>
      <c r="EC18" s="139"/>
      <c r="ED18" s="139"/>
      <c r="EE18" s="139"/>
      <c r="EF18" s="139"/>
      <c r="EG18" s="139"/>
      <c r="EH18" s="139"/>
      <c r="EI18" s="139"/>
      <c r="EJ18" s="139"/>
      <c r="EK18" s="139"/>
      <c r="EL18" s="139"/>
      <c r="EM18" s="139"/>
      <c r="EN18" s="139"/>
      <c r="EO18" s="139"/>
      <c r="EP18" s="139"/>
      <c r="EQ18" s="139"/>
      <c r="ER18" s="139"/>
      <c r="ES18" s="139"/>
      <c r="ET18" s="139"/>
      <c r="EU18" s="139"/>
      <c r="EV18" s="139"/>
      <c r="EW18" s="139"/>
      <c r="EX18" s="139"/>
      <c r="EY18" s="139"/>
      <c r="EZ18" s="139"/>
      <c r="FA18" s="139"/>
      <c r="FB18" s="139"/>
      <c r="FC18" s="139"/>
      <c r="FD18" s="139"/>
      <c r="FE18" s="139"/>
      <c r="FF18" s="139"/>
      <c r="FG18" s="139"/>
      <c r="FH18" s="139"/>
      <c r="FI18" s="139"/>
      <c r="FJ18" s="139"/>
      <c r="FK18" s="139"/>
      <c r="FL18" s="139"/>
      <c r="FM18" s="139"/>
      <c r="FN18" s="139"/>
      <c r="FO18" s="139"/>
      <c r="FP18" s="139"/>
      <c r="FQ18" s="139"/>
      <c r="FR18" s="139"/>
      <c r="FS18" s="139"/>
      <c r="FT18" s="139"/>
      <c r="FU18" s="139"/>
      <c r="FV18" s="139"/>
      <c r="FW18" s="139"/>
      <c r="FX18" s="139"/>
      <c r="FY18" s="139"/>
      <c r="FZ18" s="139"/>
      <c r="GA18" s="139"/>
      <c r="GB18" s="139"/>
      <c r="GC18" s="139"/>
      <c r="GD18" s="139"/>
      <c r="GE18" s="139"/>
      <c r="GF18" s="139"/>
      <c r="GG18" s="139"/>
      <c r="GH18" s="139"/>
      <c r="GI18" s="139"/>
      <c r="GJ18" s="139"/>
      <c r="GK18" s="139"/>
      <c r="GL18" s="139"/>
      <c r="GM18" s="139"/>
      <c r="GN18" s="139"/>
      <c r="GO18" s="139"/>
      <c r="GP18" s="139"/>
      <c r="GQ18" s="139"/>
      <c r="GR18" s="139"/>
      <c r="GS18" s="139"/>
      <c r="GT18" s="139"/>
      <c r="GU18" s="139"/>
      <c r="GV18" s="139"/>
      <c r="GW18" s="139"/>
      <c r="GX18" s="139"/>
      <c r="GY18" s="139"/>
      <c r="GZ18" s="139"/>
      <c r="HA18" s="139"/>
      <c r="HB18" s="139"/>
      <c r="HC18" s="139"/>
      <c r="HD18" s="139"/>
      <c r="HE18" s="139"/>
      <c r="HF18" s="139"/>
      <c r="HG18" s="139"/>
      <c r="HH18" s="139"/>
      <c r="HI18" s="139"/>
      <c r="HJ18" s="139"/>
      <c r="HK18" s="139"/>
      <c r="HL18" s="139"/>
      <c r="HM18" s="139"/>
      <c r="HN18" s="139"/>
      <c r="HO18" s="139"/>
      <c r="HP18" s="139"/>
      <c r="HQ18" s="139"/>
      <c r="HR18" s="139"/>
      <c r="HS18" s="139"/>
      <c r="HT18" s="139"/>
      <c r="HU18" s="139"/>
      <c r="HV18" s="139"/>
      <c r="HW18" s="139"/>
      <c r="HX18" s="139"/>
      <c r="HY18" s="139"/>
      <c r="HZ18" s="139"/>
      <c r="IA18" s="139"/>
      <c r="IB18" s="139"/>
      <c r="IC18" s="139"/>
      <c r="ID18" s="139"/>
      <c r="IE18" s="139"/>
      <c r="IF18" s="139"/>
      <c r="IG18" s="139"/>
      <c r="IH18" s="139"/>
      <c r="II18" s="139"/>
      <c r="IJ18" s="139"/>
      <c r="IK18" s="139"/>
      <c r="IL18" s="139"/>
      <c r="IM18" s="139"/>
      <c r="IN18" s="139"/>
      <c r="IO18" s="139"/>
      <c r="IP18" s="139"/>
      <c r="IQ18" s="139"/>
      <c r="IR18" s="139"/>
      <c r="IS18" s="139"/>
      <c r="IT18" s="139"/>
      <c r="IU18" s="139"/>
      <c r="IV18" s="139"/>
      <c r="IW18" s="139"/>
      <c r="IX18" s="139"/>
      <c r="IY18" s="139"/>
      <c r="IZ18" s="139"/>
      <c r="JA18" s="139"/>
      <c r="JB18" s="139"/>
      <c r="JC18" s="139"/>
      <c r="JD18" s="139"/>
      <c r="JE18" s="139"/>
      <c r="JF18" s="139"/>
      <c r="JG18" s="139"/>
      <c r="JH18" s="139"/>
      <c r="JI18" s="139"/>
      <c r="JJ18" s="139"/>
      <c r="JK18" s="139"/>
      <c r="JL18" s="139"/>
      <c r="JM18" s="139"/>
      <c r="JN18" s="139"/>
      <c r="JO18" s="139"/>
      <c r="JP18" s="139"/>
      <c r="JQ18" s="139"/>
      <c r="JR18" s="139"/>
      <c r="JS18" s="139"/>
      <c r="JT18" s="139"/>
      <c r="JU18" s="139"/>
      <c r="JV18" s="139"/>
      <c r="JW18" s="139"/>
      <c r="JX18" s="139"/>
      <c r="JY18" s="139"/>
      <c r="JZ18" s="139"/>
      <c r="KA18" s="139"/>
      <c r="KB18" s="139"/>
      <c r="KC18" s="139"/>
      <c r="KD18" s="139"/>
      <c r="KE18" s="139"/>
      <c r="KF18" s="139"/>
      <c r="KG18" s="139"/>
      <c r="KH18" s="139"/>
      <c r="KI18" s="139"/>
      <c r="KJ18" s="139"/>
      <c r="KK18" s="139"/>
      <c r="KL18" s="139"/>
      <c r="KM18" s="139"/>
      <c r="KN18" s="139"/>
      <c r="KO18" s="139"/>
      <c r="KP18" s="139"/>
      <c r="KQ18" s="139"/>
      <c r="KR18" s="139"/>
      <c r="KS18" s="139"/>
      <c r="KT18" s="139"/>
      <c r="KU18" s="139"/>
      <c r="KV18" s="139"/>
      <c r="KW18" s="139"/>
      <c r="KX18" s="139"/>
      <c r="KY18" s="139"/>
      <c r="KZ18" s="139"/>
      <c r="LA18" s="139"/>
      <c r="LB18" s="139"/>
      <c r="LC18" s="139"/>
      <c r="LD18" s="139"/>
      <c r="LE18" s="139"/>
      <c r="LF18" s="139"/>
      <c r="LG18" s="139"/>
      <c r="LH18" s="139"/>
      <c r="LI18" s="139"/>
      <c r="LJ18" s="139"/>
      <c r="LK18" s="139"/>
      <c r="LL18" s="139"/>
      <c r="LM18" s="139"/>
      <c r="LN18" s="139"/>
      <c r="LO18" s="139"/>
      <c r="LP18" s="139"/>
      <c r="LQ18" s="139"/>
      <c r="LR18" s="139"/>
      <c r="LS18" s="139"/>
      <c r="LT18" s="139"/>
      <c r="LU18" s="139"/>
      <c r="LV18" s="139"/>
      <c r="LW18" s="139"/>
      <c r="LX18" s="139"/>
      <c r="LY18" s="139"/>
      <c r="LZ18" s="139"/>
      <c r="MA18" s="139"/>
      <c r="MB18" s="139"/>
      <c r="MC18" s="139"/>
      <c r="MD18" s="139"/>
      <c r="ME18" s="139"/>
      <c r="MF18" s="139"/>
      <c r="MG18" s="139"/>
      <c r="MH18" s="139"/>
      <c r="MI18" s="139"/>
      <c r="MJ18" s="139"/>
      <c r="MK18" s="139"/>
      <c r="ML18" s="139"/>
      <c r="MM18" s="139"/>
      <c r="MN18" s="139"/>
      <c r="MO18" s="139"/>
      <c r="MP18" s="139"/>
      <c r="MQ18" s="139"/>
      <c r="MR18" s="139"/>
      <c r="MS18" s="139"/>
      <c r="MT18" s="139"/>
      <c r="MU18" s="139"/>
      <c r="MV18" s="139"/>
      <c r="MW18" s="139"/>
      <c r="MX18" s="139"/>
      <c r="MY18" s="139"/>
      <c r="MZ18" s="139"/>
      <c r="NA18" s="139"/>
      <c r="NB18" s="139"/>
      <c r="NC18" s="139"/>
      <c r="ND18" s="139"/>
      <c r="NE18" s="139"/>
      <c r="NF18" s="139"/>
      <c r="NG18" s="139"/>
      <c r="NH18" s="139"/>
      <c r="NI18" s="139"/>
      <c r="NJ18" s="139"/>
      <c r="NK18" s="139"/>
      <c r="NL18" s="139"/>
      <c r="NM18" s="139"/>
      <c r="NN18" s="139"/>
      <c r="NO18" s="139"/>
      <c r="NP18" s="139"/>
      <c r="NQ18" s="139"/>
      <c r="NR18" s="139"/>
      <c r="NS18" s="139"/>
      <c r="NT18" s="139"/>
      <c r="NU18" s="139"/>
      <c r="NV18" s="139"/>
      <c r="NW18" s="139"/>
      <c r="NX18" s="139"/>
      <c r="NY18" s="139"/>
      <c r="NZ18" s="139"/>
      <c r="OA18" s="139"/>
      <c r="OB18" s="139"/>
      <c r="OC18" s="139"/>
      <c r="OD18" s="139"/>
      <c r="OE18" s="139"/>
      <c r="OF18" s="139"/>
      <c r="OG18" s="139"/>
      <c r="OH18" s="139"/>
      <c r="OI18" s="139"/>
      <c r="OJ18" s="139"/>
      <c r="OK18" s="139"/>
      <c r="OL18" s="139"/>
      <c r="OM18" s="139"/>
      <c r="ON18" s="139"/>
      <c r="OO18" s="139"/>
      <c r="OP18" s="139"/>
      <c r="OQ18" s="139"/>
      <c r="OR18" s="139"/>
      <c r="OS18" s="139"/>
      <c r="OT18" s="139"/>
      <c r="OU18" s="139"/>
      <c r="OV18" s="139"/>
      <c r="OW18" s="139"/>
      <c r="OX18" s="139"/>
      <c r="OY18" s="139"/>
      <c r="OZ18" s="139"/>
      <c r="PA18" s="139"/>
      <c r="PB18" s="139"/>
      <c r="PC18" s="139"/>
      <c r="PD18" s="139"/>
      <c r="PE18" s="139"/>
      <c r="PF18" s="139"/>
      <c r="PG18" s="139"/>
      <c r="PH18" s="139"/>
      <c r="PI18" s="139"/>
      <c r="PJ18" s="139"/>
      <c r="PK18" s="139"/>
      <c r="PL18" s="139"/>
      <c r="PM18" s="139"/>
      <c r="PN18" s="139"/>
      <c r="PO18" s="139"/>
      <c r="PP18" s="139"/>
      <c r="PQ18" s="139"/>
      <c r="PR18" s="139"/>
      <c r="PS18" s="139"/>
      <c r="PT18" s="139"/>
      <c r="PU18" s="139"/>
      <c r="PV18" s="139"/>
      <c r="PW18" s="139"/>
      <c r="PX18" s="139"/>
      <c r="PY18" s="139"/>
      <c r="PZ18" s="139"/>
      <c r="QA18" s="139"/>
      <c r="QB18" s="139"/>
      <c r="QC18" s="139"/>
      <c r="QD18" s="139"/>
      <c r="QE18" s="139"/>
      <c r="QF18" s="139"/>
      <c r="QG18" s="139"/>
      <c r="QH18" s="139"/>
      <c r="QI18" s="139"/>
      <c r="QJ18" s="139"/>
      <c r="QK18" s="139"/>
      <c r="QL18" s="139"/>
      <c r="QM18" s="139"/>
      <c r="QN18" s="139"/>
      <c r="QO18" s="139"/>
      <c r="QP18" s="139"/>
      <c r="QQ18" s="139"/>
      <c r="QR18" s="139"/>
      <c r="QS18" s="139"/>
      <c r="QT18" s="139"/>
      <c r="QU18" s="139"/>
      <c r="QV18" s="139"/>
      <c r="QW18" s="139"/>
      <c r="QX18" s="139"/>
      <c r="QY18" s="139"/>
      <c r="QZ18" s="139"/>
      <c r="RA18" s="139"/>
      <c r="RB18" s="139"/>
      <c r="RC18" s="139"/>
      <c r="RD18" s="139"/>
      <c r="RE18" s="139"/>
      <c r="RF18" s="139"/>
      <c r="RG18" s="139"/>
      <c r="RH18" s="139"/>
      <c r="RI18" s="139"/>
      <c r="RJ18" s="139"/>
      <c r="RK18" s="139"/>
      <c r="RL18" s="139"/>
      <c r="RM18" s="139"/>
      <c r="RN18" s="139"/>
      <c r="RO18" s="139"/>
      <c r="RP18" s="139"/>
      <c r="RQ18" s="139"/>
      <c r="RR18" s="139"/>
      <c r="RS18" s="139"/>
      <c r="RT18" s="139"/>
      <c r="RU18" s="139"/>
      <c r="RV18" s="139"/>
      <c r="RW18" s="139"/>
      <c r="RX18" s="139"/>
      <c r="RY18" s="139"/>
      <c r="RZ18" s="139"/>
      <c r="SA18" s="139"/>
      <c r="SB18" s="139"/>
      <c r="SC18" s="139"/>
      <c r="SD18" s="139"/>
      <c r="SE18" s="139"/>
      <c r="SF18" s="139"/>
      <c r="SG18" s="139"/>
      <c r="SH18" s="139"/>
      <c r="SI18" s="139"/>
      <c r="SJ18" s="139"/>
      <c r="SK18" s="139"/>
      <c r="SL18" s="139"/>
      <c r="SM18" s="139"/>
      <c r="SN18" s="139"/>
      <c r="SO18" s="139"/>
      <c r="SP18" s="139"/>
      <c r="SQ18" s="139"/>
      <c r="SR18" s="139"/>
      <c r="SS18" s="139"/>
      <c r="ST18" s="139"/>
      <c r="SU18" s="139"/>
      <c r="SV18" s="139"/>
      <c r="SW18" s="139"/>
      <c r="SX18" s="139"/>
      <c r="SY18" s="139"/>
      <c r="SZ18" s="139"/>
      <c r="TA18" s="139"/>
      <c r="TB18" s="139"/>
      <c r="TC18" s="139"/>
      <c r="TD18" s="139"/>
      <c r="TE18" s="139"/>
      <c r="TF18" s="139"/>
      <c r="TG18" s="139"/>
      <c r="TH18" s="139"/>
      <c r="TI18" s="139"/>
      <c r="TJ18" s="139"/>
      <c r="TK18" s="139"/>
      <c r="TL18" s="139"/>
      <c r="TM18" s="139"/>
      <c r="TN18" s="139"/>
      <c r="TO18" s="139"/>
      <c r="TP18" s="139"/>
      <c r="TQ18" s="139"/>
      <c r="TR18" s="139"/>
      <c r="TS18" s="139"/>
      <c r="TT18" s="139"/>
      <c r="TU18" s="139"/>
      <c r="TV18" s="139"/>
      <c r="TW18" s="139"/>
      <c r="TX18" s="139"/>
      <c r="TY18" s="139"/>
      <c r="TZ18" s="139"/>
      <c r="UA18" s="139"/>
      <c r="UB18" s="139"/>
      <c r="UC18" s="139"/>
      <c r="UD18" s="139"/>
      <c r="UE18" s="139"/>
      <c r="UF18" s="139"/>
      <c r="UG18" s="139"/>
      <c r="UH18" s="139"/>
      <c r="UI18" s="139"/>
      <c r="UJ18" s="139"/>
      <c r="UK18" s="139"/>
      <c r="UL18" s="139"/>
      <c r="UM18" s="139"/>
      <c r="UN18" s="139"/>
      <c r="UO18" s="139"/>
      <c r="UP18" s="139"/>
      <c r="UQ18" s="139"/>
      <c r="UR18" s="139"/>
      <c r="US18" s="139"/>
      <c r="UT18" s="139"/>
      <c r="UU18" s="139"/>
      <c r="UV18" s="139"/>
      <c r="UW18" s="139"/>
      <c r="UX18" s="139"/>
      <c r="UY18" s="139"/>
      <c r="UZ18" s="139"/>
      <c r="VA18" s="139"/>
      <c r="VB18" s="139"/>
      <c r="VC18" s="139"/>
      <c r="VD18" s="139"/>
      <c r="VE18" s="139"/>
      <c r="VF18" s="139"/>
      <c r="VG18" s="139"/>
      <c r="VH18" s="139"/>
      <c r="VI18" s="139"/>
      <c r="VJ18" s="139"/>
      <c r="VK18" s="139"/>
      <c r="VL18" s="139"/>
      <c r="VM18" s="139"/>
      <c r="VN18" s="139"/>
      <c r="VO18" s="139"/>
      <c r="VP18" s="139"/>
      <c r="VQ18" s="139"/>
      <c r="VR18" s="139"/>
      <c r="VS18" s="139"/>
      <c r="VT18" s="139"/>
      <c r="VU18" s="139"/>
      <c r="VV18" s="139"/>
      <c r="VW18" s="139"/>
      <c r="VX18" s="139"/>
      <c r="VY18" s="139"/>
      <c r="VZ18" s="139"/>
      <c r="WA18" s="139"/>
      <c r="WB18" s="139"/>
      <c r="WC18" s="139"/>
      <c r="WD18" s="139"/>
      <c r="WE18" s="139"/>
      <c r="WF18" s="139"/>
      <c r="WG18" s="139"/>
      <c r="WH18" s="139"/>
      <c r="WI18" s="139"/>
      <c r="WJ18" s="139"/>
      <c r="WK18" s="139"/>
      <c r="WL18" s="139"/>
      <c r="WM18" s="139"/>
      <c r="WN18" s="139"/>
      <c r="WO18" s="139"/>
      <c r="WP18" s="139"/>
      <c r="WQ18" s="139"/>
      <c r="WR18" s="139"/>
      <c r="WS18" s="139"/>
      <c r="WT18" s="139"/>
      <c r="WU18" s="139"/>
      <c r="WV18" s="139"/>
      <c r="WW18" s="139"/>
      <c r="WX18" s="139"/>
      <c r="WY18" s="139"/>
      <c r="WZ18" s="139"/>
      <c r="XA18" s="139"/>
      <c r="XB18" s="139"/>
      <c r="XC18" s="139"/>
      <c r="XD18" s="139"/>
      <c r="XE18" s="139"/>
      <c r="XF18" s="139"/>
      <c r="XG18" s="139"/>
      <c r="XH18" s="139"/>
      <c r="XI18" s="139"/>
      <c r="XJ18" s="139"/>
      <c r="XK18" s="139"/>
      <c r="XL18" s="139"/>
      <c r="XM18" s="139"/>
      <c r="XN18" s="139"/>
      <c r="XO18" s="139"/>
      <c r="XP18" s="139"/>
      <c r="XQ18" s="139"/>
      <c r="XR18" s="139"/>
      <c r="XS18" s="139"/>
      <c r="XT18" s="139"/>
      <c r="XU18" s="139"/>
      <c r="XV18" s="139"/>
      <c r="XW18" s="139"/>
      <c r="XX18" s="139"/>
      <c r="XY18" s="139"/>
      <c r="XZ18" s="139"/>
      <c r="YA18" s="139"/>
      <c r="YB18" s="139"/>
      <c r="YC18" s="139"/>
      <c r="YD18" s="139"/>
      <c r="YE18" s="139"/>
      <c r="YF18" s="139"/>
      <c r="YG18" s="139"/>
      <c r="YH18" s="139"/>
      <c r="YI18" s="139"/>
      <c r="YJ18" s="139"/>
      <c r="YK18" s="139"/>
      <c r="YL18" s="139"/>
      <c r="YM18" s="139"/>
      <c r="YN18" s="139"/>
      <c r="YO18" s="139"/>
      <c r="YP18" s="139"/>
      <c r="YQ18" s="139"/>
      <c r="YR18" s="139"/>
      <c r="YS18" s="139"/>
      <c r="YT18" s="139"/>
      <c r="YU18" s="139"/>
      <c r="YV18" s="139"/>
      <c r="YW18" s="139"/>
      <c r="YX18" s="139"/>
      <c r="YY18" s="139"/>
      <c r="YZ18" s="139"/>
      <c r="ZA18" s="139"/>
      <c r="ZB18" s="139"/>
      <c r="ZC18" s="139"/>
      <c r="ZD18" s="139"/>
      <c r="ZE18" s="139"/>
      <c r="ZF18" s="139"/>
      <c r="ZG18" s="139"/>
      <c r="ZH18" s="139"/>
      <c r="ZI18" s="139"/>
      <c r="ZJ18" s="139"/>
      <c r="ZK18" s="139"/>
      <c r="ZL18" s="139"/>
      <c r="ZM18" s="139"/>
      <c r="ZN18" s="139"/>
      <c r="ZO18" s="139"/>
      <c r="ZP18" s="139"/>
      <c r="ZQ18" s="139"/>
      <c r="ZR18" s="139"/>
      <c r="ZS18" s="139"/>
      <c r="ZT18" s="139"/>
      <c r="ZU18" s="139"/>
      <c r="ZV18" s="139"/>
      <c r="ZW18" s="139"/>
      <c r="ZX18" s="139"/>
      <c r="ZY18" s="139"/>
      <c r="ZZ18" s="139"/>
      <c r="AAA18" s="139"/>
      <c r="AAB18" s="139"/>
      <c r="AAC18" s="139"/>
      <c r="AAD18" s="139"/>
      <c r="AAE18" s="139"/>
      <c r="AAF18" s="139"/>
      <c r="AAG18" s="139"/>
      <c r="AAH18" s="139"/>
      <c r="AAI18" s="139"/>
      <c r="AAJ18" s="139"/>
      <c r="AAK18" s="139"/>
      <c r="AAL18" s="139"/>
      <c r="AAM18" s="139"/>
      <c r="AAN18" s="139"/>
      <c r="AAO18" s="139"/>
      <c r="AAP18" s="139"/>
      <c r="AAQ18" s="139"/>
      <c r="AAR18" s="139"/>
      <c r="AAS18" s="139"/>
      <c r="AAT18" s="139"/>
      <c r="AAU18" s="139"/>
      <c r="AAV18" s="139"/>
      <c r="AAW18" s="139"/>
      <c r="AAX18" s="139"/>
      <c r="AAY18" s="139"/>
      <c r="AAZ18" s="139"/>
      <c r="ABA18" s="139"/>
      <c r="ABB18" s="139"/>
      <c r="ABC18" s="139"/>
      <c r="ABD18" s="139"/>
      <c r="ABE18" s="139"/>
      <c r="ABF18" s="139"/>
      <c r="ABG18" s="139"/>
      <c r="ABH18" s="139"/>
      <c r="ABI18" s="139"/>
      <c r="ABJ18" s="139"/>
      <c r="ABK18" s="139"/>
      <c r="ABL18" s="139"/>
      <c r="ABM18" s="139"/>
      <c r="ABN18" s="139"/>
      <c r="ABO18" s="139"/>
      <c r="ABP18" s="139"/>
      <c r="ABQ18" s="139"/>
      <c r="ABR18" s="139"/>
      <c r="ABS18" s="139"/>
      <c r="ABT18" s="139"/>
      <c r="ABU18" s="139"/>
      <c r="ABV18" s="139"/>
      <c r="ABW18" s="139"/>
      <c r="ABX18" s="139"/>
      <c r="ABY18" s="139"/>
      <c r="ABZ18" s="139"/>
      <c r="ACA18" s="139"/>
      <c r="ACB18" s="139"/>
      <c r="ACC18" s="139"/>
      <c r="ACD18" s="139"/>
      <c r="ACE18" s="139"/>
      <c r="ACF18" s="139"/>
      <c r="ACG18" s="139"/>
      <c r="ACH18" s="139"/>
      <c r="ACI18" s="139"/>
      <c r="ACJ18" s="139"/>
      <c r="ACK18" s="139"/>
      <c r="ACL18" s="139"/>
      <c r="ACM18" s="139"/>
      <c r="ACN18" s="139"/>
      <c r="ACO18" s="139"/>
      <c r="ACP18" s="139"/>
      <c r="ACQ18" s="139"/>
      <c r="ACR18" s="139"/>
      <c r="ACS18" s="139"/>
      <c r="ACT18" s="139"/>
      <c r="ACU18" s="139"/>
      <c r="ACV18" s="139"/>
      <c r="ACW18" s="139"/>
      <c r="ACX18" s="139"/>
      <c r="ACY18" s="139"/>
      <c r="ACZ18" s="139"/>
      <c r="ADA18" s="139"/>
      <c r="ADB18" s="139"/>
      <c r="ADC18" s="139"/>
      <c r="ADD18" s="139"/>
      <c r="ADE18" s="139"/>
      <c r="ADF18" s="139"/>
      <c r="ADG18" s="139"/>
      <c r="ADH18" s="139"/>
      <c r="ADI18" s="139"/>
      <c r="ADJ18" s="139"/>
      <c r="ADK18" s="139"/>
      <c r="ADL18" s="139"/>
      <c r="ADM18" s="139"/>
      <c r="ADN18" s="139"/>
      <c r="ADO18" s="139"/>
      <c r="ADP18" s="139"/>
      <c r="ADQ18" s="139"/>
      <c r="ADR18" s="139"/>
      <c r="ADS18" s="139"/>
      <c r="ADT18" s="139"/>
      <c r="ADU18" s="139"/>
      <c r="ADV18" s="139"/>
      <c r="ADW18" s="139"/>
      <c r="ADX18" s="139"/>
      <c r="ADY18" s="139"/>
      <c r="ADZ18" s="139"/>
      <c r="AEA18" s="139"/>
      <c r="AEB18" s="139"/>
      <c r="AEC18" s="139"/>
      <c r="AED18" s="139"/>
      <c r="AEE18" s="139"/>
      <c r="AEF18" s="139"/>
      <c r="AEG18" s="139"/>
      <c r="AEH18" s="139"/>
      <c r="AEI18" s="139"/>
      <c r="AEJ18" s="139"/>
      <c r="AEK18" s="139"/>
      <c r="AEL18" s="139"/>
      <c r="AEM18" s="139"/>
      <c r="AEN18" s="139"/>
      <c r="AEO18" s="139"/>
      <c r="AEP18" s="139"/>
      <c r="AEQ18" s="139"/>
      <c r="AER18" s="139"/>
      <c r="AES18" s="139"/>
      <c r="AET18" s="139"/>
      <c r="AEU18" s="139"/>
      <c r="AEV18" s="139"/>
      <c r="AEW18" s="139"/>
      <c r="AEX18" s="139"/>
      <c r="AEY18" s="139"/>
      <c r="AEZ18" s="139"/>
      <c r="AFA18" s="139"/>
      <c r="AFB18" s="139"/>
      <c r="AFC18" s="139"/>
      <c r="AFD18" s="139"/>
      <c r="AFE18" s="139"/>
      <c r="AFF18" s="139"/>
      <c r="AFG18" s="139"/>
      <c r="AFH18" s="139"/>
      <c r="AFI18" s="139"/>
      <c r="AFJ18" s="139"/>
      <c r="AFK18" s="139"/>
      <c r="AFL18" s="139"/>
      <c r="AFM18" s="139"/>
      <c r="AFN18" s="139"/>
      <c r="AFO18" s="139"/>
      <c r="AFP18" s="139"/>
      <c r="AFQ18" s="139"/>
      <c r="AFR18" s="139"/>
      <c r="AFS18" s="139"/>
      <c r="AFT18" s="139"/>
      <c r="AFU18" s="139"/>
      <c r="AFV18" s="139"/>
      <c r="AFW18" s="139"/>
      <c r="AFX18" s="139"/>
      <c r="AFY18" s="139"/>
      <c r="AFZ18" s="139"/>
      <c r="AGA18" s="139"/>
      <c r="AGB18" s="139"/>
      <c r="AGC18" s="139"/>
      <c r="AGD18" s="139"/>
      <c r="AGE18" s="139"/>
      <c r="AGF18" s="139"/>
      <c r="AGG18" s="139"/>
      <c r="AGH18" s="139"/>
      <c r="AGI18" s="139"/>
      <c r="AGJ18" s="139"/>
      <c r="AGK18" s="139"/>
      <c r="AGL18" s="139"/>
      <c r="AGM18" s="139"/>
      <c r="AGN18" s="139"/>
      <c r="AGO18" s="139"/>
      <c r="AGP18" s="139"/>
      <c r="AGQ18" s="139"/>
      <c r="AGR18" s="139"/>
      <c r="AGS18" s="139"/>
      <c r="AGT18" s="139"/>
      <c r="AGU18" s="139"/>
      <c r="AGV18" s="139"/>
      <c r="AGW18" s="139"/>
      <c r="AGX18" s="139"/>
      <c r="AGY18" s="139"/>
      <c r="AGZ18" s="139"/>
      <c r="AHA18" s="139"/>
      <c r="AHB18" s="139"/>
      <c r="AHC18" s="139"/>
      <c r="AHD18" s="139"/>
      <c r="AHE18" s="139"/>
      <c r="AHF18" s="139"/>
      <c r="AHG18" s="139"/>
      <c r="AHH18" s="139"/>
      <c r="AHI18" s="139"/>
      <c r="AHJ18" s="139"/>
      <c r="AHK18" s="139"/>
      <c r="AHL18" s="139"/>
      <c r="AHM18" s="139"/>
      <c r="AHN18" s="139"/>
      <c r="AHO18" s="139"/>
      <c r="AHP18" s="139"/>
      <c r="AHQ18" s="139"/>
      <c r="AHR18" s="139"/>
      <c r="AHS18" s="139"/>
      <c r="AHT18" s="139"/>
      <c r="AHU18" s="139"/>
      <c r="AHV18" s="139"/>
      <c r="AHW18" s="139"/>
      <c r="AHX18" s="139"/>
      <c r="AHY18" s="139"/>
      <c r="AHZ18" s="139"/>
      <c r="AIA18" s="139"/>
      <c r="AIB18" s="139"/>
      <c r="AIC18" s="139"/>
      <c r="AID18" s="139"/>
      <c r="AIE18" s="139"/>
      <c r="AIF18" s="139"/>
      <c r="AIG18" s="139"/>
      <c r="AIH18" s="139"/>
      <c r="AII18" s="139"/>
      <c r="AIJ18" s="139"/>
      <c r="AIK18" s="139"/>
      <c r="AIL18" s="139"/>
      <c r="AIM18" s="139"/>
      <c r="AIN18" s="139"/>
      <c r="AIO18" s="139"/>
      <c r="AIP18" s="139"/>
      <c r="AIQ18" s="139"/>
      <c r="AIR18" s="139"/>
      <c r="AIS18" s="139"/>
      <c r="AIT18" s="139"/>
      <c r="AIU18" s="139"/>
      <c r="AIV18" s="139"/>
      <c r="AIW18" s="139"/>
      <c r="AIX18" s="139"/>
      <c r="AIY18" s="139"/>
      <c r="AIZ18" s="139"/>
      <c r="AJA18" s="139"/>
      <c r="AJB18" s="139"/>
      <c r="AJC18" s="139"/>
      <c r="AJD18" s="139"/>
      <c r="AJE18" s="139"/>
      <c r="AJF18" s="139"/>
      <c r="AJG18" s="139"/>
      <c r="AJH18" s="139"/>
      <c r="AJI18" s="139"/>
      <c r="AJJ18" s="139"/>
      <c r="AJK18" s="139"/>
      <c r="AJL18" s="139"/>
      <c r="AJM18" s="139"/>
      <c r="AJN18" s="139"/>
      <c r="AJO18" s="139"/>
      <c r="AJP18" s="139"/>
      <c r="AJQ18" s="139"/>
      <c r="AJR18" s="139"/>
      <c r="AJS18" s="139"/>
      <c r="AJT18" s="139"/>
      <c r="AJU18" s="139"/>
      <c r="AJV18" s="139"/>
      <c r="AJW18" s="139"/>
      <c r="AJX18" s="139"/>
      <c r="AJY18" s="139"/>
      <c r="AJZ18" s="139"/>
      <c r="AKA18" s="139"/>
      <c r="AKB18" s="139"/>
      <c r="AKC18" s="139"/>
      <c r="AKD18" s="139"/>
      <c r="AKE18" s="139"/>
      <c r="AKF18" s="139"/>
      <c r="AKG18" s="139"/>
      <c r="AKH18" s="139"/>
      <c r="AKI18" s="139"/>
      <c r="AKJ18" s="139"/>
      <c r="AKK18" s="139"/>
      <c r="AKL18" s="139"/>
      <c r="AKM18" s="139"/>
      <c r="AKN18" s="139"/>
      <c r="AKO18" s="139"/>
      <c r="AKP18" s="139"/>
      <c r="AKQ18" s="139"/>
      <c r="AKR18" s="139"/>
      <c r="AKS18" s="139"/>
      <c r="AKT18" s="139"/>
      <c r="AKU18" s="139"/>
      <c r="AKV18" s="139"/>
      <c r="AKW18" s="139"/>
      <c r="AKX18" s="139"/>
      <c r="AKY18" s="139"/>
      <c r="AKZ18" s="139"/>
      <c r="ALA18" s="139"/>
      <c r="ALB18" s="139"/>
      <c r="ALC18" s="139"/>
      <c r="ALD18" s="139"/>
      <c r="ALE18" s="139"/>
      <c r="ALF18" s="139"/>
      <c r="ALG18" s="139"/>
      <c r="ALH18" s="139"/>
      <c r="ALI18" s="139"/>
      <c r="ALJ18" s="139"/>
      <c r="ALK18" s="139"/>
      <c r="ALL18" s="139"/>
      <c r="ALM18" s="139"/>
      <c r="ALN18" s="139"/>
      <c r="ALO18" s="139"/>
      <c r="ALP18" s="139"/>
      <c r="ALQ18" s="139"/>
      <c r="ALR18" s="139"/>
      <c r="ALS18" s="139"/>
      <c r="ALT18" s="139"/>
      <c r="ALU18" s="139"/>
      <c r="ALV18" s="139"/>
      <c r="ALW18" s="139"/>
      <c r="ALX18" s="139"/>
      <c r="ALY18" s="139"/>
      <c r="ALZ18" s="139"/>
      <c r="AMA18" s="139"/>
      <c r="AMB18" s="139"/>
      <c r="AMC18" s="139"/>
      <c r="AMD18" s="139"/>
      <c r="AME18" s="139"/>
      <c r="AMF18" s="139"/>
    </row>
    <row r="19" spans="1:1020" s="140" customFormat="1" x14ac:dyDescent="0.25">
      <c r="A19" s="175" t="s">
        <v>22</v>
      </c>
      <c r="B19" s="175" t="str">
        <f t="shared" ref="B19:K19" si="14">IF(B16&gt;=B18,"OK","ERROR")</f>
        <v>OK</v>
      </c>
      <c r="C19" s="175" t="str">
        <f t="shared" si="14"/>
        <v>OK</v>
      </c>
      <c r="D19" s="175" t="str">
        <f t="shared" si="14"/>
        <v>OK</v>
      </c>
      <c r="E19" s="175" t="str">
        <f t="shared" si="14"/>
        <v>OK</v>
      </c>
      <c r="F19" s="175" t="str">
        <f t="shared" si="14"/>
        <v>OK</v>
      </c>
      <c r="G19" s="175" t="str">
        <f t="shared" si="14"/>
        <v>OK</v>
      </c>
      <c r="H19" s="175" t="str">
        <f t="shared" si="14"/>
        <v>OK</v>
      </c>
      <c r="I19" s="175" t="str">
        <f t="shared" si="14"/>
        <v>OK</v>
      </c>
      <c r="J19" s="175" t="str">
        <f t="shared" si="14"/>
        <v>OK</v>
      </c>
      <c r="K19" s="175" t="str">
        <f t="shared" si="14"/>
        <v>OK</v>
      </c>
      <c r="L19" s="176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  <c r="HM19" s="139"/>
      <c r="HN19" s="139"/>
      <c r="HO19" s="139"/>
      <c r="HP19" s="139"/>
      <c r="HQ19" s="139"/>
      <c r="HR19" s="139"/>
      <c r="HS19" s="139"/>
      <c r="HT19" s="139"/>
      <c r="HU19" s="139"/>
      <c r="HV19" s="139"/>
      <c r="HW19" s="139"/>
      <c r="HX19" s="139"/>
      <c r="HY19" s="139"/>
      <c r="HZ19" s="139"/>
      <c r="IA19" s="139"/>
      <c r="IB19" s="139"/>
      <c r="IC19" s="139"/>
      <c r="ID19" s="139"/>
      <c r="IE19" s="139"/>
      <c r="IF19" s="139"/>
      <c r="IG19" s="139"/>
      <c r="IH19" s="139"/>
      <c r="II19" s="139"/>
      <c r="IJ19" s="139"/>
      <c r="IK19" s="139"/>
      <c r="IL19" s="139"/>
      <c r="IM19" s="139"/>
      <c r="IN19" s="139"/>
      <c r="IO19" s="139"/>
      <c r="IP19" s="139"/>
      <c r="IQ19" s="139"/>
      <c r="IR19" s="139"/>
      <c r="IS19" s="139"/>
      <c r="IT19" s="139"/>
      <c r="IU19" s="139"/>
      <c r="IV19" s="139"/>
      <c r="IW19" s="139"/>
      <c r="IX19" s="139"/>
      <c r="IY19" s="139"/>
      <c r="IZ19" s="139"/>
      <c r="JA19" s="139"/>
      <c r="JB19" s="139"/>
      <c r="JC19" s="139"/>
      <c r="JD19" s="139"/>
      <c r="JE19" s="139"/>
      <c r="JF19" s="139"/>
      <c r="JG19" s="139"/>
      <c r="JH19" s="139"/>
      <c r="JI19" s="139"/>
      <c r="JJ19" s="139"/>
      <c r="JK19" s="139"/>
      <c r="JL19" s="139"/>
      <c r="JM19" s="139"/>
      <c r="JN19" s="139"/>
      <c r="JO19" s="139"/>
      <c r="JP19" s="139"/>
      <c r="JQ19" s="139"/>
      <c r="JR19" s="139"/>
      <c r="JS19" s="139"/>
      <c r="JT19" s="139"/>
      <c r="JU19" s="139"/>
      <c r="JV19" s="139"/>
      <c r="JW19" s="139"/>
      <c r="JX19" s="139"/>
      <c r="JY19" s="139"/>
      <c r="JZ19" s="139"/>
      <c r="KA19" s="139"/>
      <c r="KB19" s="139"/>
      <c r="KC19" s="139"/>
      <c r="KD19" s="139"/>
      <c r="KE19" s="139"/>
      <c r="KF19" s="139"/>
      <c r="KG19" s="139"/>
      <c r="KH19" s="139"/>
      <c r="KI19" s="139"/>
      <c r="KJ19" s="139"/>
      <c r="KK19" s="139"/>
      <c r="KL19" s="139"/>
      <c r="KM19" s="139"/>
      <c r="KN19" s="139"/>
      <c r="KO19" s="139"/>
      <c r="KP19" s="139"/>
      <c r="KQ19" s="139"/>
      <c r="KR19" s="139"/>
      <c r="KS19" s="139"/>
      <c r="KT19" s="139"/>
      <c r="KU19" s="139"/>
      <c r="KV19" s="139"/>
      <c r="KW19" s="139"/>
      <c r="KX19" s="139"/>
      <c r="KY19" s="139"/>
      <c r="KZ19" s="139"/>
      <c r="LA19" s="139"/>
      <c r="LB19" s="139"/>
      <c r="LC19" s="139"/>
      <c r="LD19" s="139"/>
      <c r="LE19" s="139"/>
      <c r="LF19" s="139"/>
      <c r="LG19" s="139"/>
      <c r="LH19" s="139"/>
      <c r="LI19" s="139"/>
      <c r="LJ19" s="139"/>
      <c r="LK19" s="139"/>
      <c r="LL19" s="139"/>
      <c r="LM19" s="139"/>
      <c r="LN19" s="139"/>
      <c r="LO19" s="139"/>
      <c r="LP19" s="139"/>
      <c r="LQ19" s="139"/>
      <c r="LR19" s="139"/>
      <c r="LS19" s="139"/>
      <c r="LT19" s="139"/>
      <c r="LU19" s="139"/>
      <c r="LV19" s="139"/>
      <c r="LW19" s="139"/>
      <c r="LX19" s="139"/>
      <c r="LY19" s="139"/>
      <c r="LZ19" s="139"/>
      <c r="MA19" s="139"/>
      <c r="MB19" s="139"/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39"/>
      <c r="MV19" s="139"/>
      <c r="MW19" s="139"/>
      <c r="MX19" s="139"/>
      <c r="MY19" s="139"/>
      <c r="MZ19" s="139"/>
      <c r="NA19" s="139"/>
      <c r="NB19" s="139"/>
      <c r="NC19" s="139"/>
      <c r="ND19" s="139"/>
      <c r="NE19" s="139"/>
      <c r="NF19" s="139"/>
      <c r="NG19" s="139"/>
      <c r="NH19" s="139"/>
      <c r="NI19" s="139"/>
      <c r="NJ19" s="139"/>
      <c r="NK19" s="139"/>
      <c r="NL19" s="139"/>
      <c r="NM19" s="139"/>
      <c r="NN19" s="139"/>
      <c r="NO19" s="139"/>
      <c r="NP19" s="139"/>
      <c r="NQ19" s="139"/>
      <c r="NR19" s="139"/>
      <c r="NS19" s="139"/>
      <c r="NT19" s="139"/>
      <c r="NU19" s="139"/>
      <c r="NV19" s="139"/>
      <c r="NW19" s="139"/>
      <c r="NX19" s="139"/>
      <c r="NY19" s="139"/>
      <c r="NZ19" s="139"/>
      <c r="OA19" s="139"/>
      <c r="OB19" s="139"/>
      <c r="OC19" s="139"/>
      <c r="OD19" s="139"/>
      <c r="OE19" s="139"/>
      <c r="OF19" s="139"/>
      <c r="OG19" s="139"/>
      <c r="OH19" s="139"/>
      <c r="OI19" s="139"/>
      <c r="OJ19" s="139"/>
      <c r="OK19" s="139"/>
      <c r="OL19" s="139"/>
      <c r="OM19" s="139"/>
      <c r="ON19" s="139"/>
      <c r="OO19" s="139"/>
      <c r="OP19" s="139"/>
      <c r="OQ19" s="139"/>
      <c r="OR19" s="139"/>
      <c r="OS19" s="139"/>
      <c r="OT19" s="139"/>
      <c r="OU19" s="139"/>
      <c r="OV19" s="139"/>
      <c r="OW19" s="139"/>
      <c r="OX19" s="139"/>
      <c r="OY19" s="139"/>
      <c r="OZ19" s="139"/>
      <c r="PA19" s="139"/>
      <c r="PB19" s="139"/>
      <c r="PC19" s="139"/>
      <c r="PD19" s="139"/>
      <c r="PE19" s="139"/>
      <c r="PF19" s="139"/>
      <c r="PG19" s="139"/>
      <c r="PH19" s="139"/>
      <c r="PI19" s="139"/>
      <c r="PJ19" s="139"/>
      <c r="PK19" s="139"/>
      <c r="PL19" s="139"/>
      <c r="PM19" s="139"/>
      <c r="PN19" s="139"/>
      <c r="PO19" s="139"/>
      <c r="PP19" s="139"/>
      <c r="PQ19" s="139"/>
      <c r="PR19" s="139"/>
      <c r="PS19" s="139"/>
      <c r="PT19" s="139"/>
      <c r="PU19" s="139"/>
      <c r="PV19" s="139"/>
      <c r="PW19" s="139"/>
      <c r="PX19" s="139"/>
      <c r="PY19" s="139"/>
      <c r="PZ19" s="139"/>
      <c r="QA19" s="139"/>
      <c r="QB19" s="139"/>
      <c r="QC19" s="139"/>
      <c r="QD19" s="139"/>
      <c r="QE19" s="139"/>
      <c r="QF19" s="139"/>
      <c r="QG19" s="139"/>
      <c r="QH19" s="139"/>
      <c r="QI19" s="139"/>
      <c r="QJ19" s="139"/>
      <c r="QK19" s="139"/>
      <c r="QL19" s="139"/>
      <c r="QM19" s="139"/>
      <c r="QN19" s="139"/>
      <c r="QO19" s="139"/>
      <c r="QP19" s="139"/>
      <c r="QQ19" s="139"/>
      <c r="QR19" s="139"/>
      <c r="QS19" s="139"/>
      <c r="QT19" s="139"/>
      <c r="QU19" s="139"/>
      <c r="QV19" s="139"/>
      <c r="QW19" s="139"/>
      <c r="QX19" s="139"/>
      <c r="QY19" s="139"/>
      <c r="QZ19" s="139"/>
      <c r="RA19" s="139"/>
      <c r="RB19" s="139"/>
      <c r="RC19" s="139"/>
      <c r="RD19" s="139"/>
      <c r="RE19" s="139"/>
      <c r="RF19" s="139"/>
      <c r="RG19" s="139"/>
      <c r="RH19" s="139"/>
      <c r="RI19" s="139"/>
      <c r="RJ19" s="139"/>
      <c r="RK19" s="139"/>
      <c r="RL19" s="139"/>
      <c r="RM19" s="139"/>
      <c r="RN19" s="139"/>
      <c r="RO19" s="139"/>
      <c r="RP19" s="139"/>
      <c r="RQ19" s="139"/>
      <c r="RR19" s="139"/>
      <c r="RS19" s="139"/>
      <c r="RT19" s="139"/>
      <c r="RU19" s="139"/>
      <c r="RV19" s="139"/>
      <c r="RW19" s="139"/>
      <c r="RX19" s="139"/>
      <c r="RY19" s="139"/>
      <c r="RZ19" s="139"/>
      <c r="SA19" s="139"/>
      <c r="SB19" s="139"/>
      <c r="SC19" s="139"/>
      <c r="SD19" s="139"/>
      <c r="SE19" s="139"/>
      <c r="SF19" s="139"/>
      <c r="SG19" s="139"/>
      <c r="SH19" s="139"/>
      <c r="SI19" s="139"/>
      <c r="SJ19" s="139"/>
      <c r="SK19" s="139"/>
      <c r="SL19" s="139"/>
      <c r="SM19" s="139"/>
      <c r="SN19" s="139"/>
      <c r="SO19" s="139"/>
      <c r="SP19" s="139"/>
      <c r="SQ19" s="139"/>
      <c r="SR19" s="139"/>
      <c r="SS19" s="139"/>
      <c r="ST19" s="139"/>
      <c r="SU19" s="139"/>
      <c r="SV19" s="139"/>
      <c r="SW19" s="139"/>
      <c r="SX19" s="139"/>
      <c r="SY19" s="139"/>
      <c r="SZ19" s="139"/>
      <c r="TA19" s="139"/>
      <c r="TB19" s="139"/>
      <c r="TC19" s="139"/>
      <c r="TD19" s="139"/>
      <c r="TE19" s="139"/>
      <c r="TF19" s="139"/>
      <c r="TG19" s="139"/>
      <c r="TH19" s="139"/>
      <c r="TI19" s="139"/>
      <c r="TJ19" s="139"/>
      <c r="TK19" s="139"/>
      <c r="TL19" s="139"/>
      <c r="TM19" s="139"/>
      <c r="TN19" s="139"/>
      <c r="TO19" s="139"/>
      <c r="TP19" s="139"/>
      <c r="TQ19" s="139"/>
      <c r="TR19" s="139"/>
      <c r="TS19" s="139"/>
      <c r="TT19" s="139"/>
      <c r="TU19" s="139"/>
      <c r="TV19" s="139"/>
      <c r="TW19" s="139"/>
      <c r="TX19" s="139"/>
      <c r="TY19" s="139"/>
      <c r="TZ19" s="139"/>
      <c r="UA19" s="139"/>
      <c r="UB19" s="139"/>
      <c r="UC19" s="139"/>
      <c r="UD19" s="139"/>
      <c r="UE19" s="139"/>
      <c r="UF19" s="139"/>
      <c r="UG19" s="139"/>
      <c r="UH19" s="139"/>
      <c r="UI19" s="139"/>
      <c r="UJ19" s="139"/>
      <c r="UK19" s="139"/>
      <c r="UL19" s="139"/>
      <c r="UM19" s="139"/>
      <c r="UN19" s="139"/>
      <c r="UO19" s="139"/>
      <c r="UP19" s="139"/>
      <c r="UQ19" s="139"/>
      <c r="UR19" s="139"/>
      <c r="US19" s="139"/>
      <c r="UT19" s="139"/>
      <c r="UU19" s="139"/>
      <c r="UV19" s="139"/>
      <c r="UW19" s="139"/>
      <c r="UX19" s="139"/>
      <c r="UY19" s="139"/>
      <c r="UZ19" s="139"/>
      <c r="VA19" s="139"/>
      <c r="VB19" s="139"/>
      <c r="VC19" s="139"/>
      <c r="VD19" s="139"/>
      <c r="VE19" s="139"/>
      <c r="VF19" s="139"/>
      <c r="VG19" s="139"/>
      <c r="VH19" s="139"/>
      <c r="VI19" s="139"/>
      <c r="VJ19" s="139"/>
      <c r="VK19" s="139"/>
      <c r="VL19" s="139"/>
      <c r="VM19" s="139"/>
      <c r="VN19" s="139"/>
      <c r="VO19" s="139"/>
      <c r="VP19" s="139"/>
      <c r="VQ19" s="139"/>
      <c r="VR19" s="139"/>
      <c r="VS19" s="139"/>
      <c r="VT19" s="139"/>
      <c r="VU19" s="139"/>
      <c r="VV19" s="139"/>
      <c r="VW19" s="139"/>
      <c r="VX19" s="139"/>
      <c r="VY19" s="139"/>
      <c r="VZ19" s="139"/>
      <c r="WA19" s="139"/>
      <c r="WB19" s="139"/>
      <c r="WC19" s="139"/>
      <c r="WD19" s="139"/>
      <c r="WE19" s="139"/>
      <c r="WF19" s="139"/>
      <c r="WG19" s="139"/>
      <c r="WH19" s="139"/>
      <c r="WI19" s="139"/>
      <c r="WJ19" s="139"/>
      <c r="WK19" s="139"/>
      <c r="WL19" s="139"/>
      <c r="WM19" s="139"/>
      <c r="WN19" s="139"/>
      <c r="WO19" s="139"/>
      <c r="WP19" s="139"/>
      <c r="WQ19" s="139"/>
      <c r="WR19" s="139"/>
      <c r="WS19" s="139"/>
      <c r="WT19" s="139"/>
      <c r="WU19" s="139"/>
      <c r="WV19" s="139"/>
      <c r="WW19" s="139"/>
      <c r="WX19" s="139"/>
      <c r="WY19" s="139"/>
      <c r="WZ19" s="139"/>
      <c r="XA19" s="139"/>
      <c r="XB19" s="139"/>
      <c r="XC19" s="139"/>
      <c r="XD19" s="139"/>
      <c r="XE19" s="139"/>
      <c r="XF19" s="139"/>
      <c r="XG19" s="139"/>
      <c r="XH19" s="139"/>
      <c r="XI19" s="139"/>
      <c r="XJ19" s="139"/>
      <c r="XK19" s="139"/>
      <c r="XL19" s="139"/>
      <c r="XM19" s="139"/>
      <c r="XN19" s="139"/>
      <c r="XO19" s="139"/>
      <c r="XP19" s="139"/>
      <c r="XQ19" s="139"/>
      <c r="XR19" s="139"/>
      <c r="XS19" s="139"/>
      <c r="XT19" s="139"/>
      <c r="XU19" s="139"/>
      <c r="XV19" s="139"/>
      <c r="XW19" s="139"/>
      <c r="XX19" s="139"/>
      <c r="XY19" s="139"/>
      <c r="XZ19" s="139"/>
      <c r="YA19" s="139"/>
      <c r="YB19" s="139"/>
      <c r="YC19" s="139"/>
      <c r="YD19" s="139"/>
      <c r="YE19" s="139"/>
      <c r="YF19" s="139"/>
      <c r="YG19" s="139"/>
      <c r="YH19" s="139"/>
      <c r="YI19" s="139"/>
      <c r="YJ19" s="139"/>
      <c r="YK19" s="139"/>
      <c r="YL19" s="139"/>
      <c r="YM19" s="139"/>
      <c r="YN19" s="139"/>
      <c r="YO19" s="139"/>
      <c r="YP19" s="139"/>
      <c r="YQ19" s="139"/>
      <c r="YR19" s="139"/>
      <c r="YS19" s="139"/>
      <c r="YT19" s="139"/>
      <c r="YU19" s="139"/>
      <c r="YV19" s="139"/>
      <c r="YW19" s="139"/>
      <c r="YX19" s="139"/>
      <c r="YY19" s="139"/>
      <c r="YZ19" s="139"/>
      <c r="ZA19" s="139"/>
      <c r="ZB19" s="139"/>
      <c r="ZC19" s="139"/>
      <c r="ZD19" s="139"/>
      <c r="ZE19" s="139"/>
      <c r="ZF19" s="139"/>
      <c r="ZG19" s="139"/>
      <c r="ZH19" s="139"/>
      <c r="ZI19" s="139"/>
      <c r="ZJ19" s="139"/>
      <c r="ZK19" s="139"/>
      <c r="ZL19" s="139"/>
      <c r="ZM19" s="139"/>
      <c r="ZN19" s="139"/>
      <c r="ZO19" s="139"/>
      <c r="ZP19" s="139"/>
      <c r="ZQ19" s="139"/>
      <c r="ZR19" s="139"/>
      <c r="ZS19" s="139"/>
      <c r="ZT19" s="139"/>
      <c r="ZU19" s="139"/>
      <c r="ZV19" s="139"/>
      <c r="ZW19" s="139"/>
      <c r="ZX19" s="139"/>
      <c r="ZY19" s="139"/>
      <c r="ZZ19" s="139"/>
      <c r="AAA19" s="139"/>
      <c r="AAB19" s="139"/>
      <c r="AAC19" s="139"/>
      <c r="AAD19" s="139"/>
      <c r="AAE19" s="139"/>
      <c r="AAF19" s="139"/>
      <c r="AAG19" s="139"/>
      <c r="AAH19" s="139"/>
      <c r="AAI19" s="139"/>
      <c r="AAJ19" s="139"/>
      <c r="AAK19" s="139"/>
      <c r="AAL19" s="139"/>
      <c r="AAM19" s="139"/>
      <c r="AAN19" s="139"/>
      <c r="AAO19" s="139"/>
      <c r="AAP19" s="139"/>
      <c r="AAQ19" s="139"/>
      <c r="AAR19" s="139"/>
      <c r="AAS19" s="139"/>
      <c r="AAT19" s="139"/>
      <c r="AAU19" s="139"/>
      <c r="AAV19" s="139"/>
      <c r="AAW19" s="139"/>
      <c r="AAX19" s="139"/>
      <c r="AAY19" s="139"/>
      <c r="AAZ19" s="139"/>
      <c r="ABA19" s="139"/>
      <c r="ABB19" s="139"/>
      <c r="ABC19" s="139"/>
      <c r="ABD19" s="139"/>
      <c r="ABE19" s="139"/>
      <c r="ABF19" s="139"/>
      <c r="ABG19" s="139"/>
      <c r="ABH19" s="139"/>
      <c r="ABI19" s="139"/>
      <c r="ABJ19" s="139"/>
      <c r="ABK19" s="139"/>
      <c r="ABL19" s="139"/>
      <c r="ABM19" s="139"/>
      <c r="ABN19" s="139"/>
      <c r="ABO19" s="139"/>
      <c r="ABP19" s="139"/>
      <c r="ABQ19" s="139"/>
      <c r="ABR19" s="139"/>
      <c r="ABS19" s="139"/>
      <c r="ABT19" s="139"/>
      <c r="ABU19" s="139"/>
      <c r="ABV19" s="139"/>
      <c r="ABW19" s="139"/>
      <c r="ABX19" s="139"/>
      <c r="ABY19" s="139"/>
      <c r="ABZ19" s="139"/>
      <c r="ACA19" s="139"/>
      <c r="ACB19" s="139"/>
      <c r="ACC19" s="139"/>
      <c r="ACD19" s="139"/>
      <c r="ACE19" s="139"/>
      <c r="ACF19" s="139"/>
      <c r="ACG19" s="139"/>
      <c r="ACH19" s="139"/>
      <c r="ACI19" s="139"/>
      <c r="ACJ19" s="139"/>
      <c r="ACK19" s="139"/>
      <c r="ACL19" s="139"/>
      <c r="ACM19" s="139"/>
      <c r="ACN19" s="139"/>
      <c r="ACO19" s="139"/>
      <c r="ACP19" s="139"/>
      <c r="ACQ19" s="139"/>
      <c r="ACR19" s="139"/>
      <c r="ACS19" s="139"/>
      <c r="ACT19" s="139"/>
      <c r="ACU19" s="139"/>
      <c r="ACV19" s="139"/>
      <c r="ACW19" s="139"/>
      <c r="ACX19" s="139"/>
      <c r="ACY19" s="139"/>
      <c r="ACZ19" s="139"/>
      <c r="ADA19" s="139"/>
      <c r="ADB19" s="139"/>
      <c r="ADC19" s="139"/>
      <c r="ADD19" s="139"/>
      <c r="ADE19" s="139"/>
      <c r="ADF19" s="139"/>
      <c r="ADG19" s="139"/>
      <c r="ADH19" s="139"/>
      <c r="ADI19" s="139"/>
      <c r="ADJ19" s="139"/>
      <c r="ADK19" s="139"/>
      <c r="ADL19" s="139"/>
      <c r="ADM19" s="139"/>
      <c r="ADN19" s="139"/>
      <c r="ADO19" s="139"/>
      <c r="ADP19" s="139"/>
      <c r="ADQ19" s="139"/>
      <c r="ADR19" s="139"/>
      <c r="ADS19" s="139"/>
      <c r="ADT19" s="139"/>
      <c r="ADU19" s="139"/>
      <c r="ADV19" s="139"/>
      <c r="ADW19" s="139"/>
      <c r="ADX19" s="139"/>
      <c r="ADY19" s="139"/>
      <c r="ADZ19" s="139"/>
      <c r="AEA19" s="139"/>
      <c r="AEB19" s="139"/>
      <c r="AEC19" s="139"/>
      <c r="AED19" s="139"/>
      <c r="AEE19" s="139"/>
      <c r="AEF19" s="139"/>
      <c r="AEG19" s="139"/>
      <c r="AEH19" s="139"/>
      <c r="AEI19" s="139"/>
      <c r="AEJ19" s="139"/>
      <c r="AEK19" s="139"/>
      <c r="AEL19" s="139"/>
      <c r="AEM19" s="139"/>
      <c r="AEN19" s="139"/>
      <c r="AEO19" s="139"/>
      <c r="AEP19" s="139"/>
      <c r="AEQ19" s="139"/>
      <c r="AER19" s="139"/>
      <c r="AES19" s="139"/>
      <c r="AET19" s="139"/>
      <c r="AEU19" s="139"/>
      <c r="AEV19" s="139"/>
      <c r="AEW19" s="139"/>
      <c r="AEX19" s="139"/>
      <c r="AEY19" s="139"/>
      <c r="AEZ19" s="139"/>
      <c r="AFA19" s="139"/>
      <c r="AFB19" s="139"/>
      <c r="AFC19" s="139"/>
      <c r="AFD19" s="139"/>
      <c r="AFE19" s="139"/>
      <c r="AFF19" s="139"/>
      <c r="AFG19" s="139"/>
      <c r="AFH19" s="139"/>
      <c r="AFI19" s="139"/>
      <c r="AFJ19" s="139"/>
      <c r="AFK19" s="139"/>
      <c r="AFL19" s="139"/>
      <c r="AFM19" s="139"/>
      <c r="AFN19" s="139"/>
      <c r="AFO19" s="139"/>
      <c r="AFP19" s="139"/>
      <c r="AFQ19" s="139"/>
      <c r="AFR19" s="139"/>
      <c r="AFS19" s="139"/>
      <c r="AFT19" s="139"/>
      <c r="AFU19" s="139"/>
      <c r="AFV19" s="139"/>
      <c r="AFW19" s="139"/>
      <c r="AFX19" s="139"/>
      <c r="AFY19" s="139"/>
      <c r="AFZ19" s="139"/>
      <c r="AGA19" s="139"/>
      <c r="AGB19" s="139"/>
      <c r="AGC19" s="139"/>
      <c r="AGD19" s="139"/>
      <c r="AGE19" s="139"/>
      <c r="AGF19" s="139"/>
      <c r="AGG19" s="139"/>
      <c r="AGH19" s="139"/>
      <c r="AGI19" s="139"/>
      <c r="AGJ19" s="139"/>
      <c r="AGK19" s="139"/>
      <c r="AGL19" s="139"/>
      <c r="AGM19" s="139"/>
      <c r="AGN19" s="139"/>
      <c r="AGO19" s="139"/>
      <c r="AGP19" s="139"/>
      <c r="AGQ19" s="139"/>
      <c r="AGR19" s="139"/>
      <c r="AGS19" s="139"/>
      <c r="AGT19" s="139"/>
      <c r="AGU19" s="139"/>
      <c r="AGV19" s="139"/>
      <c r="AGW19" s="139"/>
      <c r="AGX19" s="139"/>
      <c r="AGY19" s="139"/>
      <c r="AGZ19" s="139"/>
      <c r="AHA19" s="139"/>
      <c r="AHB19" s="139"/>
      <c r="AHC19" s="139"/>
      <c r="AHD19" s="139"/>
      <c r="AHE19" s="139"/>
      <c r="AHF19" s="139"/>
      <c r="AHG19" s="139"/>
      <c r="AHH19" s="139"/>
      <c r="AHI19" s="139"/>
      <c r="AHJ19" s="139"/>
      <c r="AHK19" s="139"/>
      <c r="AHL19" s="139"/>
      <c r="AHM19" s="139"/>
      <c r="AHN19" s="139"/>
      <c r="AHO19" s="139"/>
      <c r="AHP19" s="139"/>
      <c r="AHQ19" s="139"/>
      <c r="AHR19" s="139"/>
      <c r="AHS19" s="139"/>
      <c r="AHT19" s="139"/>
      <c r="AHU19" s="139"/>
      <c r="AHV19" s="139"/>
      <c r="AHW19" s="139"/>
      <c r="AHX19" s="139"/>
      <c r="AHY19" s="139"/>
      <c r="AHZ19" s="139"/>
      <c r="AIA19" s="139"/>
      <c r="AIB19" s="139"/>
      <c r="AIC19" s="139"/>
      <c r="AID19" s="139"/>
      <c r="AIE19" s="139"/>
      <c r="AIF19" s="139"/>
      <c r="AIG19" s="139"/>
      <c r="AIH19" s="139"/>
      <c r="AII19" s="139"/>
      <c r="AIJ19" s="139"/>
      <c r="AIK19" s="139"/>
      <c r="AIL19" s="139"/>
      <c r="AIM19" s="139"/>
      <c r="AIN19" s="139"/>
      <c r="AIO19" s="139"/>
      <c r="AIP19" s="139"/>
      <c r="AIQ19" s="139"/>
      <c r="AIR19" s="139"/>
      <c r="AIS19" s="139"/>
      <c r="AIT19" s="139"/>
      <c r="AIU19" s="139"/>
      <c r="AIV19" s="139"/>
      <c r="AIW19" s="139"/>
      <c r="AIX19" s="139"/>
      <c r="AIY19" s="139"/>
      <c r="AIZ19" s="139"/>
      <c r="AJA19" s="139"/>
      <c r="AJB19" s="139"/>
      <c r="AJC19" s="139"/>
      <c r="AJD19" s="139"/>
      <c r="AJE19" s="139"/>
      <c r="AJF19" s="139"/>
      <c r="AJG19" s="139"/>
      <c r="AJH19" s="139"/>
      <c r="AJI19" s="139"/>
      <c r="AJJ19" s="139"/>
      <c r="AJK19" s="139"/>
      <c r="AJL19" s="139"/>
      <c r="AJM19" s="139"/>
      <c r="AJN19" s="139"/>
      <c r="AJO19" s="139"/>
      <c r="AJP19" s="139"/>
      <c r="AJQ19" s="139"/>
      <c r="AJR19" s="139"/>
      <c r="AJS19" s="139"/>
      <c r="AJT19" s="139"/>
      <c r="AJU19" s="139"/>
      <c r="AJV19" s="139"/>
      <c r="AJW19" s="139"/>
      <c r="AJX19" s="139"/>
      <c r="AJY19" s="139"/>
      <c r="AJZ19" s="139"/>
      <c r="AKA19" s="139"/>
      <c r="AKB19" s="139"/>
      <c r="AKC19" s="139"/>
      <c r="AKD19" s="139"/>
      <c r="AKE19" s="139"/>
      <c r="AKF19" s="139"/>
      <c r="AKG19" s="139"/>
      <c r="AKH19" s="139"/>
      <c r="AKI19" s="139"/>
      <c r="AKJ19" s="139"/>
      <c r="AKK19" s="139"/>
      <c r="AKL19" s="139"/>
      <c r="AKM19" s="139"/>
      <c r="AKN19" s="139"/>
      <c r="AKO19" s="139"/>
      <c r="AKP19" s="139"/>
      <c r="AKQ19" s="139"/>
      <c r="AKR19" s="139"/>
      <c r="AKS19" s="139"/>
      <c r="AKT19" s="139"/>
      <c r="AKU19" s="139"/>
      <c r="AKV19" s="139"/>
      <c r="AKW19" s="139"/>
      <c r="AKX19" s="139"/>
      <c r="AKY19" s="139"/>
      <c r="AKZ19" s="139"/>
      <c r="ALA19" s="139"/>
      <c r="ALB19" s="139"/>
      <c r="ALC19" s="139"/>
      <c r="ALD19" s="139"/>
      <c r="ALE19" s="139"/>
      <c r="ALF19" s="139"/>
      <c r="ALG19" s="139"/>
      <c r="ALH19" s="139"/>
      <c r="ALI19" s="139"/>
      <c r="ALJ19" s="139"/>
      <c r="ALK19" s="139"/>
      <c r="ALL19" s="139"/>
      <c r="ALM19" s="139"/>
      <c r="ALN19" s="139"/>
      <c r="ALO19" s="139"/>
      <c r="ALP19" s="139"/>
      <c r="ALQ19" s="139"/>
      <c r="ALR19" s="139"/>
      <c r="ALS19" s="139"/>
      <c r="ALT19" s="139"/>
      <c r="ALU19" s="139"/>
      <c r="ALV19" s="139"/>
      <c r="ALW19" s="139"/>
      <c r="ALX19" s="139"/>
      <c r="ALY19" s="139"/>
      <c r="ALZ19" s="139"/>
      <c r="AMA19" s="139"/>
      <c r="AMB19" s="139"/>
      <c r="AMC19" s="139"/>
      <c r="AMD19" s="139"/>
      <c r="AME19" s="139"/>
      <c r="AMF19" s="139"/>
    </row>
    <row r="20" spans="1:1020" s="140" customFormat="1" x14ac:dyDescent="0.25">
      <c r="A20" s="177" t="s">
        <v>23</v>
      </c>
      <c r="B20" s="177">
        <f ca="1">B10</f>
        <v>3</v>
      </c>
      <c r="C20" s="177">
        <f ca="1">C10</f>
        <v>57.779360000000004</v>
      </c>
      <c r="D20" s="177">
        <f t="shared" ref="D20:K20" ca="1" si="15">D10</f>
        <v>176.97298000000001</v>
      </c>
      <c r="E20" s="177">
        <f t="shared" ca="1" si="15"/>
        <v>0</v>
      </c>
      <c r="F20" s="177">
        <f t="shared" ca="1" si="15"/>
        <v>1</v>
      </c>
      <c r="G20" s="177">
        <f t="shared" ca="1" si="15"/>
        <v>4.4000000000000004</v>
      </c>
      <c r="H20" s="177">
        <f t="shared" ca="1" si="15"/>
        <v>49</v>
      </c>
      <c r="I20" s="177">
        <f t="shared" ca="1" si="15"/>
        <v>20</v>
      </c>
      <c r="J20" s="177">
        <f t="shared" ca="1" si="15"/>
        <v>0</v>
      </c>
      <c r="K20" s="177">
        <f t="shared" ca="1" si="15"/>
        <v>0</v>
      </c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  <c r="DK20" s="139"/>
      <c r="DL20" s="139"/>
      <c r="DM20" s="139"/>
      <c r="DN20" s="139"/>
      <c r="DO20" s="139"/>
      <c r="DP20" s="139"/>
      <c r="DQ20" s="139"/>
      <c r="DR20" s="139"/>
      <c r="DS20" s="139"/>
      <c r="DT20" s="139"/>
      <c r="DU20" s="139"/>
      <c r="DV20" s="139"/>
      <c r="DW20" s="139"/>
      <c r="DX20" s="139"/>
      <c r="DY20" s="139"/>
      <c r="DZ20" s="139"/>
      <c r="EA20" s="139"/>
      <c r="EB20" s="139"/>
      <c r="EC20" s="139"/>
      <c r="ED20" s="139"/>
      <c r="EE20" s="139"/>
      <c r="EF20" s="139"/>
      <c r="EG20" s="139"/>
      <c r="EH20" s="139"/>
      <c r="EI20" s="139"/>
      <c r="EJ20" s="139"/>
      <c r="EK20" s="139"/>
      <c r="EL20" s="139"/>
      <c r="EM20" s="139"/>
      <c r="EN20" s="139"/>
      <c r="EO20" s="139"/>
      <c r="EP20" s="139"/>
      <c r="EQ20" s="139"/>
      <c r="ER20" s="139"/>
      <c r="ES20" s="139"/>
      <c r="ET20" s="139"/>
      <c r="EU20" s="139"/>
      <c r="EV20" s="139"/>
      <c r="EW20" s="139"/>
      <c r="EX20" s="139"/>
      <c r="EY20" s="139"/>
      <c r="EZ20" s="139"/>
      <c r="FA20" s="139"/>
      <c r="FB20" s="139"/>
      <c r="FC20" s="139"/>
      <c r="FD20" s="139"/>
      <c r="FE20" s="139"/>
      <c r="FF20" s="139"/>
      <c r="FG20" s="139"/>
      <c r="FH20" s="139"/>
      <c r="FI20" s="139"/>
      <c r="FJ20" s="139"/>
      <c r="FK20" s="139"/>
      <c r="FL20" s="139"/>
      <c r="FM20" s="139"/>
      <c r="FN20" s="139"/>
      <c r="FO20" s="139"/>
      <c r="FP20" s="139"/>
      <c r="FQ20" s="139"/>
      <c r="FR20" s="139"/>
      <c r="FS20" s="139"/>
      <c r="FT20" s="139"/>
      <c r="FU20" s="139"/>
      <c r="FV20" s="139"/>
      <c r="FW20" s="139"/>
      <c r="FX20" s="139"/>
      <c r="FY20" s="139"/>
      <c r="FZ20" s="139"/>
      <c r="GA20" s="139"/>
      <c r="GB20" s="139"/>
      <c r="GC20" s="139"/>
      <c r="GD20" s="139"/>
      <c r="GE20" s="139"/>
      <c r="GF20" s="139"/>
      <c r="GG20" s="139"/>
      <c r="GH20" s="139"/>
      <c r="GI20" s="139"/>
      <c r="GJ20" s="139"/>
      <c r="GK20" s="139"/>
      <c r="GL20" s="139"/>
      <c r="GM20" s="139"/>
      <c r="GN20" s="139"/>
      <c r="GO20" s="139"/>
      <c r="GP20" s="139"/>
      <c r="GQ20" s="139"/>
      <c r="GR20" s="139"/>
      <c r="GS20" s="139"/>
      <c r="GT20" s="139"/>
      <c r="GU20" s="139"/>
      <c r="GV20" s="139"/>
      <c r="GW20" s="139"/>
      <c r="GX20" s="139"/>
      <c r="GY20" s="139"/>
      <c r="GZ20" s="139"/>
      <c r="HA20" s="139"/>
      <c r="HB20" s="139"/>
      <c r="HC20" s="139"/>
      <c r="HD20" s="139"/>
      <c r="HE20" s="139"/>
      <c r="HF20" s="139"/>
      <c r="HG20" s="139"/>
      <c r="HH20" s="139"/>
      <c r="HI20" s="139"/>
      <c r="HJ20" s="139"/>
      <c r="HK20" s="139"/>
      <c r="HL20" s="139"/>
      <c r="HM20" s="139"/>
      <c r="HN20" s="139"/>
      <c r="HO20" s="139"/>
      <c r="HP20" s="139"/>
      <c r="HQ20" s="139"/>
      <c r="HR20" s="139"/>
      <c r="HS20" s="139"/>
      <c r="HT20" s="139"/>
      <c r="HU20" s="139"/>
      <c r="HV20" s="139"/>
      <c r="HW20" s="139"/>
      <c r="HX20" s="139"/>
      <c r="HY20" s="139"/>
      <c r="HZ20" s="139"/>
      <c r="IA20" s="139"/>
      <c r="IB20" s="139"/>
      <c r="IC20" s="139"/>
      <c r="ID20" s="139"/>
      <c r="IE20" s="139"/>
      <c r="IF20" s="139"/>
      <c r="IG20" s="139"/>
      <c r="IH20" s="139"/>
      <c r="II20" s="139"/>
      <c r="IJ20" s="139"/>
      <c r="IK20" s="139"/>
      <c r="IL20" s="139"/>
      <c r="IM20" s="139"/>
      <c r="IN20" s="139"/>
      <c r="IO20" s="139"/>
      <c r="IP20" s="139"/>
      <c r="IQ20" s="139"/>
      <c r="IR20" s="139"/>
      <c r="IS20" s="139"/>
      <c r="IT20" s="139"/>
      <c r="IU20" s="139"/>
      <c r="IV20" s="139"/>
      <c r="IW20" s="139"/>
      <c r="IX20" s="139"/>
      <c r="IY20" s="139"/>
      <c r="IZ20" s="139"/>
      <c r="JA20" s="139"/>
      <c r="JB20" s="139"/>
      <c r="JC20" s="139"/>
      <c r="JD20" s="139"/>
      <c r="JE20" s="139"/>
      <c r="JF20" s="139"/>
      <c r="JG20" s="139"/>
      <c r="JH20" s="139"/>
      <c r="JI20" s="139"/>
      <c r="JJ20" s="139"/>
      <c r="JK20" s="139"/>
      <c r="JL20" s="139"/>
      <c r="JM20" s="139"/>
      <c r="JN20" s="139"/>
      <c r="JO20" s="139"/>
      <c r="JP20" s="139"/>
      <c r="JQ20" s="139"/>
      <c r="JR20" s="139"/>
      <c r="JS20" s="139"/>
      <c r="JT20" s="139"/>
      <c r="JU20" s="139"/>
      <c r="JV20" s="139"/>
      <c r="JW20" s="139"/>
      <c r="JX20" s="139"/>
      <c r="JY20" s="139"/>
      <c r="JZ20" s="139"/>
      <c r="KA20" s="139"/>
      <c r="KB20" s="139"/>
      <c r="KC20" s="139"/>
      <c r="KD20" s="139"/>
      <c r="KE20" s="139"/>
      <c r="KF20" s="139"/>
      <c r="KG20" s="139"/>
      <c r="KH20" s="139"/>
      <c r="KI20" s="139"/>
      <c r="KJ20" s="139"/>
      <c r="KK20" s="139"/>
      <c r="KL20" s="139"/>
      <c r="KM20" s="139"/>
      <c r="KN20" s="139"/>
      <c r="KO20" s="139"/>
      <c r="KP20" s="139"/>
      <c r="KQ20" s="139"/>
      <c r="KR20" s="139"/>
      <c r="KS20" s="139"/>
      <c r="KT20" s="139"/>
      <c r="KU20" s="139"/>
      <c r="KV20" s="139"/>
      <c r="KW20" s="139"/>
      <c r="KX20" s="139"/>
      <c r="KY20" s="139"/>
      <c r="KZ20" s="139"/>
      <c r="LA20" s="139"/>
      <c r="LB20" s="139"/>
      <c r="LC20" s="139"/>
      <c r="LD20" s="139"/>
      <c r="LE20" s="139"/>
      <c r="LF20" s="139"/>
      <c r="LG20" s="139"/>
      <c r="LH20" s="139"/>
      <c r="LI20" s="139"/>
      <c r="LJ20" s="139"/>
      <c r="LK20" s="139"/>
      <c r="LL20" s="139"/>
      <c r="LM20" s="139"/>
      <c r="LN20" s="139"/>
      <c r="LO20" s="139"/>
      <c r="LP20" s="139"/>
      <c r="LQ20" s="139"/>
      <c r="LR20" s="139"/>
      <c r="LS20" s="139"/>
      <c r="LT20" s="139"/>
      <c r="LU20" s="139"/>
      <c r="LV20" s="139"/>
      <c r="LW20" s="139"/>
      <c r="LX20" s="139"/>
      <c r="LY20" s="139"/>
      <c r="LZ20" s="139"/>
      <c r="MA20" s="139"/>
      <c r="MB20" s="139"/>
      <c r="MC20" s="139"/>
      <c r="MD20" s="139"/>
      <c r="ME20" s="139"/>
      <c r="MF20" s="139"/>
      <c r="MG20" s="139"/>
      <c r="MH20" s="139"/>
      <c r="MI20" s="139"/>
      <c r="MJ20" s="139"/>
      <c r="MK20" s="139"/>
      <c r="ML20" s="139"/>
      <c r="MM20" s="139"/>
      <c r="MN20" s="139"/>
      <c r="MO20" s="139"/>
      <c r="MP20" s="139"/>
      <c r="MQ20" s="139"/>
      <c r="MR20" s="139"/>
      <c r="MS20" s="139"/>
      <c r="MT20" s="139"/>
      <c r="MU20" s="139"/>
      <c r="MV20" s="139"/>
      <c r="MW20" s="139"/>
      <c r="MX20" s="139"/>
      <c r="MY20" s="139"/>
      <c r="MZ20" s="139"/>
      <c r="NA20" s="139"/>
      <c r="NB20" s="139"/>
      <c r="NC20" s="139"/>
      <c r="ND20" s="139"/>
      <c r="NE20" s="139"/>
      <c r="NF20" s="139"/>
      <c r="NG20" s="139"/>
      <c r="NH20" s="139"/>
      <c r="NI20" s="139"/>
      <c r="NJ20" s="139"/>
      <c r="NK20" s="139"/>
      <c r="NL20" s="139"/>
      <c r="NM20" s="139"/>
      <c r="NN20" s="139"/>
      <c r="NO20" s="139"/>
      <c r="NP20" s="139"/>
      <c r="NQ20" s="139"/>
      <c r="NR20" s="139"/>
      <c r="NS20" s="139"/>
      <c r="NT20" s="139"/>
      <c r="NU20" s="139"/>
      <c r="NV20" s="139"/>
      <c r="NW20" s="139"/>
      <c r="NX20" s="139"/>
      <c r="NY20" s="139"/>
      <c r="NZ20" s="139"/>
      <c r="OA20" s="139"/>
      <c r="OB20" s="139"/>
      <c r="OC20" s="139"/>
      <c r="OD20" s="139"/>
      <c r="OE20" s="139"/>
      <c r="OF20" s="139"/>
      <c r="OG20" s="139"/>
      <c r="OH20" s="139"/>
      <c r="OI20" s="139"/>
      <c r="OJ20" s="139"/>
      <c r="OK20" s="139"/>
      <c r="OL20" s="139"/>
      <c r="OM20" s="139"/>
      <c r="ON20" s="139"/>
      <c r="OO20" s="139"/>
      <c r="OP20" s="139"/>
      <c r="OQ20" s="139"/>
      <c r="OR20" s="139"/>
      <c r="OS20" s="139"/>
      <c r="OT20" s="139"/>
      <c r="OU20" s="139"/>
      <c r="OV20" s="139"/>
      <c r="OW20" s="139"/>
      <c r="OX20" s="139"/>
      <c r="OY20" s="139"/>
      <c r="OZ20" s="139"/>
      <c r="PA20" s="139"/>
      <c r="PB20" s="139"/>
      <c r="PC20" s="139"/>
      <c r="PD20" s="139"/>
      <c r="PE20" s="139"/>
      <c r="PF20" s="139"/>
      <c r="PG20" s="139"/>
      <c r="PH20" s="139"/>
      <c r="PI20" s="139"/>
      <c r="PJ20" s="139"/>
      <c r="PK20" s="139"/>
      <c r="PL20" s="139"/>
      <c r="PM20" s="139"/>
      <c r="PN20" s="139"/>
      <c r="PO20" s="139"/>
      <c r="PP20" s="139"/>
      <c r="PQ20" s="139"/>
      <c r="PR20" s="139"/>
      <c r="PS20" s="139"/>
      <c r="PT20" s="139"/>
      <c r="PU20" s="139"/>
      <c r="PV20" s="139"/>
      <c r="PW20" s="139"/>
      <c r="PX20" s="139"/>
      <c r="PY20" s="139"/>
      <c r="PZ20" s="139"/>
      <c r="QA20" s="139"/>
      <c r="QB20" s="139"/>
      <c r="QC20" s="139"/>
      <c r="QD20" s="139"/>
      <c r="QE20" s="139"/>
      <c r="QF20" s="139"/>
      <c r="QG20" s="139"/>
      <c r="QH20" s="139"/>
      <c r="QI20" s="139"/>
      <c r="QJ20" s="139"/>
      <c r="QK20" s="139"/>
      <c r="QL20" s="139"/>
      <c r="QM20" s="139"/>
      <c r="QN20" s="139"/>
      <c r="QO20" s="139"/>
      <c r="QP20" s="139"/>
      <c r="QQ20" s="139"/>
      <c r="QR20" s="139"/>
      <c r="QS20" s="139"/>
      <c r="QT20" s="139"/>
      <c r="QU20" s="139"/>
      <c r="QV20" s="139"/>
      <c r="QW20" s="139"/>
      <c r="QX20" s="139"/>
      <c r="QY20" s="139"/>
      <c r="QZ20" s="139"/>
      <c r="RA20" s="139"/>
      <c r="RB20" s="139"/>
      <c r="RC20" s="139"/>
      <c r="RD20" s="139"/>
      <c r="RE20" s="139"/>
      <c r="RF20" s="139"/>
      <c r="RG20" s="139"/>
      <c r="RH20" s="139"/>
      <c r="RI20" s="139"/>
      <c r="RJ20" s="139"/>
      <c r="RK20" s="139"/>
      <c r="RL20" s="139"/>
      <c r="RM20" s="139"/>
      <c r="RN20" s="139"/>
      <c r="RO20" s="139"/>
      <c r="RP20" s="139"/>
      <c r="RQ20" s="139"/>
      <c r="RR20" s="139"/>
      <c r="RS20" s="139"/>
      <c r="RT20" s="139"/>
      <c r="RU20" s="139"/>
      <c r="RV20" s="139"/>
      <c r="RW20" s="139"/>
      <c r="RX20" s="139"/>
      <c r="RY20" s="139"/>
      <c r="RZ20" s="139"/>
      <c r="SA20" s="139"/>
      <c r="SB20" s="139"/>
      <c r="SC20" s="139"/>
      <c r="SD20" s="139"/>
      <c r="SE20" s="139"/>
      <c r="SF20" s="139"/>
      <c r="SG20" s="139"/>
      <c r="SH20" s="139"/>
      <c r="SI20" s="139"/>
      <c r="SJ20" s="139"/>
      <c r="SK20" s="139"/>
      <c r="SL20" s="139"/>
      <c r="SM20" s="139"/>
      <c r="SN20" s="139"/>
      <c r="SO20" s="139"/>
      <c r="SP20" s="139"/>
      <c r="SQ20" s="139"/>
      <c r="SR20" s="139"/>
      <c r="SS20" s="139"/>
      <c r="ST20" s="139"/>
      <c r="SU20" s="139"/>
      <c r="SV20" s="139"/>
      <c r="SW20" s="139"/>
      <c r="SX20" s="139"/>
      <c r="SY20" s="139"/>
      <c r="SZ20" s="139"/>
      <c r="TA20" s="139"/>
      <c r="TB20" s="139"/>
      <c r="TC20" s="139"/>
      <c r="TD20" s="139"/>
      <c r="TE20" s="139"/>
      <c r="TF20" s="139"/>
      <c r="TG20" s="139"/>
      <c r="TH20" s="139"/>
      <c r="TI20" s="139"/>
      <c r="TJ20" s="139"/>
      <c r="TK20" s="139"/>
      <c r="TL20" s="139"/>
      <c r="TM20" s="139"/>
      <c r="TN20" s="139"/>
      <c r="TO20" s="139"/>
      <c r="TP20" s="139"/>
      <c r="TQ20" s="139"/>
      <c r="TR20" s="139"/>
      <c r="TS20" s="139"/>
      <c r="TT20" s="139"/>
      <c r="TU20" s="139"/>
      <c r="TV20" s="139"/>
      <c r="TW20" s="139"/>
      <c r="TX20" s="139"/>
      <c r="TY20" s="139"/>
      <c r="TZ20" s="139"/>
      <c r="UA20" s="139"/>
      <c r="UB20" s="139"/>
      <c r="UC20" s="139"/>
      <c r="UD20" s="139"/>
      <c r="UE20" s="139"/>
      <c r="UF20" s="139"/>
      <c r="UG20" s="139"/>
      <c r="UH20" s="139"/>
      <c r="UI20" s="139"/>
      <c r="UJ20" s="139"/>
      <c r="UK20" s="139"/>
      <c r="UL20" s="139"/>
      <c r="UM20" s="139"/>
      <c r="UN20" s="139"/>
      <c r="UO20" s="139"/>
      <c r="UP20" s="139"/>
      <c r="UQ20" s="139"/>
      <c r="UR20" s="139"/>
      <c r="US20" s="139"/>
      <c r="UT20" s="139"/>
      <c r="UU20" s="139"/>
      <c r="UV20" s="139"/>
      <c r="UW20" s="139"/>
      <c r="UX20" s="139"/>
      <c r="UY20" s="139"/>
      <c r="UZ20" s="139"/>
      <c r="VA20" s="139"/>
      <c r="VB20" s="139"/>
      <c r="VC20" s="139"/>
      <c r="VD20" s="139"/>
      <c r="VE20" s="139"/>
      <c r="VF20" s="139"/>
      <c r="VG20" s="139"/>
      <c r="VH20" s="139"/>
      <c r="VI20" s="139"/>
      <c r="VJ20" s="139"/>
      <c r="VK20" s="139"/>
      <c r="VL20" s="139"/>
      <c r="VM20" s="139"/>
      <c r="VN20" s="139"/>
      <c r="VO20" s="139"/>
      <c r="VP20" s="139"/>
      <c r="VQ20" s="139"/>
      <c r="VR20" s="139"/>
      <c r="VS20" s="139"/>
      <c r="VT20" s="139"/>
      <c r="VU20" s="139"/>
      <c r="VV20" s="139"/>
      <c r="VW20" s="139"/>
      <c r="VX20" s="139"/>
      <c r="VY20" s="139"/>
      <c r="VZ20" s="139"/>
      <c r="WA20" s="139"/>
      <c r="WB20" s="139"/>
      <c r="WC20" s="139"/>
      <c r="WD20" s="139"/>
      <c r="WE20" s="139"/>
      <c r="WF20" s="139"/>
      <c r="WG20" s="139"/>
      <c r="WH20" s="139"/>
      <c r="WI20" s="139"/>
      <c r="WJ20" s="139"/>
      <c r="WK20" s="139"/>
      <c r="WL20" s="139"/>
      <c r="WM20" s="139"/>
      <c r="WN20" s="139"/>
      <c r="WO20" s="139"/>
      <c r="WP20" s="139"/>
      <c r="WQ20" s="139"/>
      <c r="WR20" s="139"/>
      <c r="WS20" s="139"/>
      <c r="WT20" s="139"/>
      <c r="WU20" s="139"/>
      <c r="WV20" s="139"/>
      <c r="WW20" s="139"/>
      <c r="WX20" s="139"/>
      <c r="WY20" s="139"/>
      <c r="WZ20" s="139"/>
      <c r="XA20" s="139"/>
      <c r="XB20" s="139"/>
      <c r="XC20" s="139"/>
      <c r="XD20" s="139"/>
      <c r="XE20" s="139"/>
      <c r="XF20" s="139"/>
      <c r="XG20" s="139"/>
      <c r="XH20" s="139"/>
      <c r="XI20" s="139"/>
      <c r="XJ20" s="139"/>
      <c r="XK20" s="139"/>
      <c r="XL20" s="139"/>
      <c r="XM20" s="139"/>
      <c r="XN20" s="139"/>
      <c r="XO20" s="139"/>
      <c r="XP20" s="139"/>
      <c r="XQ20" s="139"/>
      <c r="XR20" s="139"/>
      <c r="XS20" s="139"/>
      <c r="XT20" s="139"/>
      <c r="XU20" s="139"/>
      <c r="XV20" s="139"/>
      <c r="XW20" s="139"/>
      <c r="XX20" s="139"/>
      <c r="XY20" s="139"/>
      <c r="XZ20" s="139"/>
      <c r="YA20" s="139"/>
      <c r="YB20" s="139"/>
      <c r="YC20" s="139"/>
      <c r="YD20" s="139"/>
      <c r="YE20" s="139"/>
      <c r="YF20" s="139"/>
      <c r="YG20" s="139"/>
      <c r="YH20" s="139"/>
      <c r="YI20" s="139"/>
      <c r="YJ20" s="139"/>
      <c r="YK20" s="139"/>
      <c r="YL20" s="139"/>
      <c r="YM20" s="139"/>
      <c r="YN20" s="139"/>
      <c r="YO20" s="139"/>
      <c r="YP20" s="139"/>
      <c r="YQ20" s="139"/>
      <c r="YR20" s="139"/>
      <c r="YS20" s="139"/>
      <c r="YT20" s="139"/>
      <c r="YU20" s="139"/>
      <c r="YV20" s="139"/>
      <c r="YW20" s="139"/>
      <c r="YX20" s="139"/>
      <c r="YY20" s="139"/>
      <c r="YZ20" s="139"/>
      <c r="ZA20" s="139"/>
      <c r="ZB20" s="139"/>
      <c r="ZC20" s="139"/>
      <c r="ZD20" s="139"/>
      <c r="ZE20" s="139"/>
      <c r="ZF20" s="139"/>
      <c r="ZG20" s="139"/>
      <c r="ZH20" s="139"/>
      <c r="ZI20" s="139"/>
      <c r="ZJ20" s="139"/>
      <c r="ZK20" s="139"/>
      <c r="ZL20" s="139"/>
      <c r="ZM20" s="139"/>
      <c r="ZN20" s="139"/>
      <c r="ZO20" s="139"/>
      <c r="ZP20" s="139"/>
      <c r="ZQ20" s="139"/>
      <c r="ZR20" s="139"/>
      <c r="ZS20" s="139"/>
      <c r="ZT20" s="139"/>
      <c r="ZU20" s="139"/>
      <c r="ZV20" s="139"/>
      <c r="ZW20" s="139"/>
      <c r="ZX20" s="139"/>
      <c r="ZY20" s="139"/>
      <c r="ZZ20" s="139"/>
      <c r="AAA20" s="139"/>
      <c r="AAB20" s="139"/>
      <c r="AAC20" s="139"/>
      <c r="AAD20" s="139"/>
      <c r="AAE20" s="139"/>
      <c r="AAF20" s="139"/>
      <c r="AAG20" s="139"/>
      <c r="AAH20" s="139"/>
      <c r="AAI20" s="139"/>
      <c r="AAJ20" s="139"/>
      <c r="AAK20" s="139"/>
      <c r="AAL20" s="139"/>
      <c r="AAM20" s="139"/>
      <c r="AAN20" s="139"/>
      <c r="AAO20" s="139"/>
      <c r="AAP20" s="139"/>
      <c r="AAQ20" s="139"/>
      <c r="AAR20" s="139"/>
      <c r="AAS20" s="139"/>
      <c r="AAT20" s="139"/>
      <c r="AAU20" s="139"/>
      <c r="AAV20" s="139"/>
      <c r="AAW20" s="139"/>
      <c r="AAX20" s="139"/>
      <c r="AAY20" s="139"/>
      <c r="AAZ20" s="139"/>
      <c r="ABA20" s="139"/>
      <c r="ABB20" s="139"/>
      <c r="ABC20" s="139"/>
      <c r="ABD20" s="139"/>
      <c r="ABE20" s="139"/>
      <c r="ABF20" s="139"/>
      <c r="ABG20" s="139"/>
      <c r="ABH20" s="139"/>
      <c r="ABI20" s="139"/>
      <c r="ABJ20" s="139"/>
      <c r="ABK20" s="139"/>
      <c r="ABL20" s="139"/>
      <c r="ABM20" s="139"/>
      <c r="ABN20" s="139"/>
      <c r="ABO20" s="139"/>
      <c r="ABP20" s="139"/>
      <c r="ABQ20" s="139"/>
      <c r="ABR20" s="139"/>
      <c r="ABS20" s="139"/>
      <c r="ABT20" s="139"/>
      <c r="ABU20" s="139"/>
      <c r="ABV20" s="139"/>
      <c r="ABW20" s="139"/>
      <c r="ABX20" s="139"/>
      <c r="ABY20" s="139"/>
      <c r="ABZ20" s="139"/>
      <c r="ACA20" s="139"/>
      <c r="ACB20" s="139"/>
      <c r="ACC20" s="139"/>
      <c r="ACD20" s="139"/>
      <c r="ACE20" s="139"/>
      <c r="ACF20" s="139"/>
      <c r="ACG20" s="139"/>
      <c r="ACH20" s="139"/>
      <c r="ACI20" s="139"/>
      <c r="ACJ20" s="139"/>
      <c r="ACK20" s="139"/>
      <c r="ACL20" s="139"/>
      <c r="ACM20" s="139"/>
      <c r="ACN20" s="139"/>
      <c r="ACO20" s="139"/>
      <c r="ACP20" s="139"/>
      <c r="ACQ20" s="139"/>
      <c r="ACR20" s="139"/>
      <c r="ACS20" s="139"/>
      <c r="ACT20" s="139"/>
      <c r="ACU20" s="139"/>
      <c r="ACV20" s="139"/>
      <c r="ACW20" s="139"/>
      <c r="ACX20" s="139"/>
      <c r="ACY20" s="139"/>
      <c r="ACZ20" s="139"/>
      <c r="ADA20" s="139"/>
      <c r="ADB20" s="139"/>
      <c r="ADC20" s="139"/>
      <c r="ADD20" s="139"/>
      <c r="ADE20" s="139"/>
      <c r="ADF20" s="139"/>
      <c r="ADG20" s="139"/>
      <c r="ADH20" s="139"/>
      <c r="ADI20" s="139"/>
      <c r="ADJ20" s="139"/>
      <c r="ADK20" s="139"/>
      <c r="ADL20" s="139"/>
      <c r="ADM20" s="139"/>
      <c r="ADN20" s="139"/>
      <c r="ADO20" s="139"/>
      <c r="ADP20" s="139"/>
      <c r="ADQ20" s="139"/>
      <c r="ADR20" s="139"/>
      <c r="ADS20" s="139"/>
      <c r="ADT20" s="139"/>
      <c r="ADU20" s="139"/>
      <c r="ADV20" s="139"/>
      <c r="ADW20" s="139"/>
      <c r="ADX20" s="139"/>
      <c r="ADY20" s="139"/>
      <c r="ADZ20" s="139"/>
      <c r="AEA20" s="139"/>
      <c r="AEB20" s="139"/>
      <c r="AEC20" s="139"/>
      <c r="AED20" s="139"/>
      <c r="AEE20" s="139"/>
      <c r="AEF20" s="139"/>
      <c r="AEG20" s="139"/>
      <c r="AEH20" s="139"/>
      <c r="AEI20" s="139"/>
      <c r="AEJ20" s="139"/>
      <c r="AEK20" s="139"/>
      <c r="AEL20" s="139"/>
      <c r="AEM20" s="139"/>
      <c r="AEN20" s="139"/>
      <c r="AEO20" s="139"/>
      <c r="AEP20" s="139"/>
      <c r="AEQ20" s="139"/>
      <c r="AER20" s="139"/>
      <c r="AES20" s="139"/>
      <c r="AET20" s="139"/>
      <c r="AEU20" s="139"/>
      <c r="AEV20" s="139"/>
      <c r="AEW20" s="139"/>
      <c r="AEX20" s="139"/>
      <c r="AEY20" s="139"/>
      <c r="AEZ20" s="139"/>
      <c r="AFA20" s="139"/>
      <c r="AFB20" s="139"/>
      <c r="AFC20" s="139"/>
      <c r="AFD20" s="139"/>
      <c r="AFE20" s="139"/>
      <c r="AFF20" s="139"/>
      <c r="AFG20" s="139"/>
      <c r="AFH20" s="139"/>
      <c r="AFI20" s="139"/>
      <c r="AFJ20" s="139"/>
      <c r="AFK20" s="139"/>
      <c r="AFL20" s="139"/>
      <c r="AFM20" s="139"/>
      <c r="AFN20" s="139"/>
      <c r="AFO20" s="139"/>
      <c r="AFP20" s="139"/>
      <c r="AFQ20" s="139"/>
      <c r="AFR20" s="139"/>
      <c r="AFS20" s="139"/>
      <c r="AFT20" s="139"/>
      <c r="AFU20" s="139"/>
      <c r="AFV20" s="139"/>
      <c r="AFW20" s="139"/>
      <c r="AFX20" s="139"/>
      <c r="AFY20" s="139"/>
      <c r="AFZ20" s="139"/>
      <c r="AGA20" s="139"/>
      <c r="AGB20" s="139"/>
      <c r="AGC20" s="139"/>
      <c r="AGD20" s="139"/>
      <c r="AGE20" s="139"/>
      <c r="AGF20" s="139"/>
      <c r="AGG20" s="139"/>
      <c r="AGH20" s="139"/>
      <c r="AGI20" s="139"/>
      <c r="AGJ20" s="139"/>
      <c r="AGK20" s="139"/>
      <c r="AGL20" s="139"/>
      <c r="AGM20" s="139"/>
      <c r="AGN20" s="139"/>
      <c r="AGO20" s="139"/>
      <c r="AGP20" s="139"/>
      <c r="AGQ20" s="139"/>
      <c r="AGR20" s="139"/>
      <c r="AGS20" s="139"/>
      <c r="AGT20" s="139"/>
      <c r="AGU20" s="139"/>
      <c r="AGV20" s="139"/>
      <c r="AGW20" s="139"/>
      <c r="AGX20" s="139"/>
      <c r="AGY20" s="139"/>
      <c r="AGZ20" s="139"/>
      <c r="AHA20" s="139"/>
      <c r="AHB20" s="139"/>
      <c r="AHC20" s="139"/>
      <c r="AHD20" s="139"/>
      <c r="AHE20" s="139"/>
      <c r="AHF20" s="139"/>
      <c r="AHG20" s="139"/>
      <c r="AHH20" s="139"/>
      <c r="AHI20" s="139"/>
      <c r="AHJ20" s="139"/>
      <c r="AHK20" s="139"/>
      <c r="AHL20" s="139"/>
      <c r="AHM20" s="139"/>
      <c r="AHN20" s="139"/>
      <c r="AHO20" s="139"/>
      <c r="AHP20" s="139"/>
      <c r="AHQ20" s="139"/>
      <c r="AHR20" s="139"/>
      <c r="AHS20" s="139"/>
      <c r="AHT20" s="139"/>
      <c r="AHU20" s="139"/>
      <c r="AHV20" s="139"/>
      <c r="AHW20" s="139"/>
      <c r="AHX20" s="139"/>
      <c r="AHY20" s="139"/>
      <c r="AHZ20" s="139"/>
      <c r="AIA20" s="139"/>
      <c r="AIB20" s="139"/>
      <c r="AIC20" s="139"/>
      <c r="AID20" s="139"/>
      <c r="AIE20" s="139"/>
      <c r="AIF20" s="139"/>
      <c r="AIG20" s="139"/>
      <c r="AIH20" s="139"/>
      <c r="AII20" s="139"/>
      <c r="AIJ20" s="139"/>
      <c r="AIK20" s="139"/>
      <c r="AIL20" s="139"/>
      <c r="AIM20" s="139"/>
      <c r="AIN20" s="139"/>
      <c r="AIO20" s="139"/>
      <c r="AIP20" s="139"/>
      <c r="AIQ20" s="139"/>
      <c r="AIR20" s="139"/>
      <c r="AIS20" s="139"/>
      <c r="AIT20" s="139"/>
      <c r="AIU20" s="139"/>
      <c r="AIV20" s="139"/>
      <c r="AIW20" s="139"/>
      <c r="AIX20" s="139"/>
      <c r="AIY20" s="139"/>
      <c r="AIZ20" s="139"/>
      <c r="AJA20" s="139"/>
      <c r="AJB20" s="139"/>
      <c r="AJC20" s="139"/>
      <c r="AJD20" s="139"/>
      <c r="AJE20" s="139"/>
      <c r="AJF20" s="139"/>
      <c r="AJG20" s="139"/>
      <c r="AJH20" s="139"/>
      <c r="AJI20" s="139"/>
      <c r="AJJ20" s="139"/>
      <c r="AJK20" s="139"/>
      <c r="AJL20" s="139"/>
      <c r="AJM20" s="139"/>
      <c r="AJN20" s="139"/>
      <c r="AJO20" s="139"/>
      <c r="AJP20" s="139"/>
      <c r="AJQ20" s="139"/>
      <c r="AJR20" s="139"/>
      <c r="AJS20" s="139"/>
      <c r="AJT20" s="139"/>
      <c r="AJU20" s="139"/>
      <c r="AJV20" s="139"/>
      <c r="AJW20" s="139"/>
      <c r="AJX20" s="139"/>
      <c r="AJY20" s="139"/>
      <c r="AJZ20" s="139"/>
      <c r="AKA20" s="139"/>
      <c r="AKB20" s="139"/>
      <c r="AKC20" s="139"/>
      <c r="AKD20" s="139"/>
      <c r="AKE20" s="139"/>
      <c r="AKF20" s="139"/>
      <c r="AKG20" s="139"/>
      <c r="AKH20" s="139"/>
      <c r="AKI20" s="139"/>
      <c r="AKJ20" s="139"/>
      <c r="AKK20" s="139"/>
      <c r="AKL20" s="139"/>
      <c r="AKM20" s="139"/>
      <c r="AKN20" s="139"/>
      <c r="AKO20" s="139"/>
      <c r="AKP20" s="139"/>
      <c r="AKQ20" s="139"/>
      <c r="AKR20" s="139"/>
      <c r="AKS20" s="139"/>
      <c r="AKT20" s="139"/>
      <c r="AKU20" s="139"/>
      <c r="AKV20" s="139"/>
      <c r="AKW20" s="139"/>
      <c r="AKX20" s="139"/>
      <c r="AKY20" s="139"/>
      <c r="AKZ20" s="139"/>
      <c r="ALA20" s="139"/>
      <c r="ALB20" s="139"/>
      <c r="ALC20" s="139"/>
      <c r="ALD20" s="139"/>
      <c r="ALE20" s="139"/>
      <c r="ALF20" s="139"/>
      <c r="ALG20" s="139"/>
      <c r="ALH20" s="139"/>
      <c r="ALI20" s="139"/>
      <c r="ALJ20" s="139"/>
      <c r="ALK20" s="139"/>
      <c r="ALL20" s="139"/>
      <c r="ALM20" s="139"/>
      <c r="ALN20" s="139"/>
      <c r="ALO20" s="139"/>
      <c r="ALP20" s="139"/>
      <c r="ALQ20" s="139"/>
      <c r="ALR20" s="139"/>
      <c r="ALS20" s="139"/>
      <c r="ALT20" s="139"/>
      <c r="ALU20" s="139"/>
      <c r="ALV20" s="139"/>
      <c r="ALW20" s="139"/>
      <c r="ALX20" s="139"/>
      <c r="ALY20" s="139"/>
      <c r="ALZ20" s="139"/>
      <c r="AMA20" s="139"/>
      <c r="AMB20" s="139"/>
      <c r="AMC20" s="139"/>
      <c r="AMD20" s="139"/>
      <c r="AME20" s="139"/>
      <c r="AMF20" s="139"/>
    </row>
    <row r="21" spans="1:1020" s="178" customFormat="1" x14ac:dyDescent="0.25">
      <c r="A21" s="212" t="s">
        <v>47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</row>
    <row r="22" spans="1:1020" s="178" customFormat="1" x14ac:dyDescent="0.25">
      <c r="A22" s="212" t="s">
        <v>48</v>
      </c>
      <c r="B22" s="212"/>
      <c r="C22" s="212"/>
      <c r="D22" s="212"/>
      <c r="E22" s="212"/>
      <c r="F22" s="212"/>
      <c r="G22" s="212"/>
      <c r="H22" s="212"/>
      <c r="J22" s="190" t="s">
        <v>64</v>
      </c>
      <c r="K22" s="191" t="s">
        <v>63</v>
      </c>
      <c r="L22" s="179"/>
    </row>
    <row r="23" spans="1:1020" s="178" customFormat="1" x14ac:dyDescent="0.25">
      <c r="A23" s="179" t="s">
        <v>49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</row>
    <row r="24" spans="1:1020" s="178" customFormat="1" x14ac:dyDescent="0.25">
      <c r="A24" s="179" t="s">
        <v>50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</row>
    <row r="25" spans="1:1020" s="178" customFormat="1" x14ac:dyDescent="0.25">
      <c r="A25" s="179" t="s">
        <v>51</v>
      </c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</row>
    <row r="26" spans="1:1020" s="178" customFormat="1" x14ac:dyDescent="0.25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</row>
    <row r="27" spans="1:1020" s="178" customFormat="1" x14ac:dyDescent="0.25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</row>
    <row r="28" spans="1:1020" s="178" customFormat="1" x14ac:dyDescent="0.25">
      <c r="A28" s="179"/>
    </row>
    <row r="29" spans="1:1020" s="178" customFormat="1" x14ac:dyDescent="0.25">
      <c r="A29" s="212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</row>
    <row r="30" spans="1:1020" s="178" customFormat="1" x14ac:dyDescent="0.25">
      <c r="A30" s="212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</row>
    <row r="31" spans="1:1020" s="178" customFormat="1" x14ac:dyDescent="0.25">
      <c r="A31" s="212"/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</row>
    <row r="32" spans="1:1020" s="180" customFormat="1" x14ac:dyDescent="0.25">
      <c r="A32" s="205" t="s">
        <v>24</v>
      </c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</row>
    <row r="33" spans="1:1024" s="140" customFormat="1" x14ac:dyDescent="0.25">
      <c r="A33" s="217" t="s">
        <v>52</v>
      </c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181"/>
      <c r="N33" s="181"/>
      <c r="O33" s="181"/>
      <c r="P33" s="181"/>
      <c r="Q33" s="181"/>
      <c r="R33" s="182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39"/>
      <c r="EL33" s="139"/>
      <c r="EM33" s="139"/>
      <c r="EN33" s="139"/>
      <c r="EO33" s="139"/>
      <c r="EP33" s="139"/>
      <c r="EQ33" s="139"/>
      <c r="ER33" s="139"/>
      <c r="ES33" s="139"/>
      <c r="ET33" s="139"/>
      <c r="EU33" s="139"/>
      <c r="EV33" s="139"/>
      <c r="EW33" s="139"/>
      <c r="EX33" s="139"/>
      <c r="EY33" s="139"/>
      <c r="EZ33" s="139"/>
      <c r="FA33" s="139"/>
      <c r="FB33" s="139"/>
      <c r="FC33" s="139"/>
      <c r="FD33" s="139"/>
      <c r="FE33" s="139"/>
      <c r="FF33" s="139"/>
      <c r="FG33" s="139"/>
      <c r="FH33" s="139"/>
      <c r="FI33" s="139"/>
      <c r="FJ33" s="139"/>
      <c r="FK33" s="139"/>
      <c r="FL33" s="139"/>
      <c r="FM33" s="139"/>
      <c r="FN33" s="139"/>
      <c r="FO33" s="139"/>
      <c r="FP33" s="139"/>
      <c r="FQ33" s="139"/>
      <c r="FR33" s="139"/>
      <c r="FS33" s="139"/>
      <c r="FT33" s="139"/>
      <c r="FU33" s="139"/>
      <c r="FV33" s="139"/>
      <c r="FW33" s="139"/>
      <c r="FX33" s="139"/>
      <c r="FY33" s="139"/>
      <c r="FZ33" s="139"/>
      <c r="GA33" s="139"/>
      <c r="GB33" s="139"/>
      <c r="GC33" s="139"/>
      <c r="GD33" s="139"/>
      <c r="GE33" s="139"/>
      <c r="GF33" s="139"/>
      <c r="GG33" s="139"/>
      <c r="GH33" s="139"/>
      <c r="GI33" s="139"/>
      <c r="GJ33" s="139"/>
      <c r="GK33" s="139"/>
      <c r="GL33" s="139"/>
      <c r="GM33" s="139"/>
      <c r="GN33" s="139"/>
      <c r="GO33" s="139"/>
      <c r="GP33" s="139"/>
      <c r="GQ33" s="139"/>
      <c r="GR33" s="139"/>
      <c r="GS33" s="139"/>
      <c r="GT33" s="139"/>
      <c r="GU33" s="139"/>
      <c r="GV33" s="139"/>
      <c r="GW33" s="139"/>
      <c r="GX33" s="139"/>
      <c r="GY33" s="139"/>
      <c r="GZ33" s="139"/>
      <c r="HA33" s="139"/>
      <c r="HB33" s="139"/>
      <c r="HC33" s="139"/>
      <c r="HD33" s="139"/>
      <c r="HE33" s="139"/>
      <c r="HF33" s="139"/>
      <c r="HG33" s="139"/>
      <c r="HH33" s="139"/>
      <c r="HI33" s="139"/>
      <c r="HJ33" s="139"/>
      <c r="HK33" s="139"/>
      <c r="HL33" s="139"/>
      <c r="HM33" s="139"/>
      <c r="HN33" s="139"/>
      <c r="HO33" s="139"/>
      <c r="HP33" s="139"/>
      <c r="HQ33" s="139"/>
      <c r="HR33" s="139"/>
      <c r="HS33" s="139"/>
      <c r="HT33" s="139"/>
      <c r="HU33" s="139"/>
      <c r="HV33" s="139"/>
      <c r="HW33" s="139"/>
      <c r="HX33" s="139"/>
      <c r="HY33" s="139"/>
      <c r="HZ33" s="139"/>
      <c r="IA33" s="139"/>
      <c r="IB33" s="139"/>
      <c r="IC33" s="139"/>
      <c r="ID33" s="139"/>
      <c r="IE33" s="139"/>
      <c r="IF33" s="139"/>
      <c r="IG33" s="139"/>
      <c r="IH33" s="139"/>
      <c r="II33" s="139"/>
      <c r="IJ33" s="139"/>
      <c r="IK33" s="139"/>
      <c r="IL33" s="139"/>
      <c r="IM33" s="139"/>
      <c r="IN33" s="139"/>
      <c r="IO33" s="139"/>
      <c r="IP33" s="139"/>
      <c r="IQ33" s="139"/>
      <c r="IR33" s="139"/>
      <c r="IS33" s="139"/>
      <c r="IT33" s="139"/>
      <c r="IU33" s="139"/>
      <c r="IV33" s="139"/>
      <c r="IW33" s="139"/>
      <c r="IX33" s="139"/>
      <c r="IY33" s="139"/>
      <c r="IZ33" s="139"/>
      <c r="JA33" s="139"/>
      <c r="JB33" s="139"/>
      <c r="JC33" s="139"/>
      <c r="JD33" s="139"/>
      <c r="JE33" s="139"/>
      <c r="JF33" s="139"/>
      <c r="JG33" s="139"/>
      <c r="JH33" s="139"/>
      <c r="JI33" s="139"/>
      <c r="JJ33" s="139"/>
      <c r="JK33" s="139"/>
      <c r="JL33" s="139"/>
      <c r="JM33" s="139"/>
      <c r="JN33" s="139"/>
      <c r="JO33" s="139"/>
      <c r="JP33" s="139"/>
      <c r="JQ33" s="139"/>
      <c r="JR33" s="139"/>
      <c r="JS33" s="139"/>
      <c r="JT33" s="139"/>
      <c r="JU33" s="139"/>
      <c r="JV33" s="139"/>
      <c r="JW33" s="139"/>
      <c r="JX33" s="139"/>
      <c r="JY33" s="139"/>
      <c r="JZ33" s="139"/>
      <c r="KA33" s="139"/>
      <c r="KB33" s="139"/>
      <c r="KC33" s="139"/>
      <c r="KD33" s="139"/>
      <c r="KE33" s="139"/>
      <c r="KF33" s="139"/>
      <c r="KG33" s="139"/>
      <c r="KH33" s="139"/>
      <c r="KI33" s="139"/>
      <c r="KJ33" s="139"/>
      <c r="KK33" s="139"/>
      <c r="KL33" s="139"/>
      <c r="KM33" s="139"/>
      <c r="KN33" s="139"/>
      <c r="KO33" s="139"/>
      <c r="KP33" s="139"/>
      <c r="KQ33" s="139"/>
      <c r="KR33" s="139"/>
      <c r="KS33" s="139"/>
      <c r="KT33" s="139"/>
      <c r="KU33" s="139"/>
      <c r="KV33" s="139"/>
      <c r="KW33" s="139"/>
      <c r="KX33" s="139"/>
      <c r="KY33" s="139"/>
      <c r="KZ33" s="139"/>
      <c r="LA33" s="139"/>
      <c r="LB33" s="139"/>
      <c r="LC33" s="139"/>
      <c r="LD33" s="139"/>
      <c r="LE33" s="139"/>
      <c r="LF33" s="139"/>
      <c r="LG33" s="139"/>
      <c r="LH33" s="139"/>
      <c r="LI33" s="139"/>
      <c r="LJ33" s="139"/>
      <c r="LK33" s="139"/>
      <c r="LL33" s="139"/>
      <c r="LM33" s="139"/>
      <c r="LN33" s="139"/>
      <c r="LO33" s="139"/>
      <c r="LP33" s="139"/>
      <c r="LQ33" s="139"/>
      <c r="LR33" s="139"/>
      <c r="LS33" s="139"/>
      <c r="LT33" s="139"/>
      <c r="LU33" s="139"/>
      <c r="LV33" s="139"/>
      <c r="LW33" s="139"/>
      <c r="LX33" s="139"/>
      <c r="LY33" s="139"/>
      <c r="LZ33" s="139"/>
      <c r="MA33" s="139"/>
      <c r="MB33" s="139"/>
      <c r="MC33" s="139"/>
      <c r="MD33" s="139"/>
      <c r="ME33" s="139"/>
      <c r="MF33" s="139"/>
      <c r="MG33" s="139"/>
      <c r="MH33" s="139"/>
      <c r="MI33" s="139"/>
      <c r="MJ33" s="139"/>
      <c r="MK33" s="139"/>
      <c r="ML33" s="139"/>
      <c r="MM33" s="139"/>
      <c r="MN33" s="139"/>
      <c r="MO33" s="139"/>
      <c r="MP33" s="139"/>
      <c r="MQ33" s="139"/>
      <c r="MR33" s="139"/>
      <c r="MS33" s="139"/>
      <c r="MT33" s="139"/>
      <c r="MU33" s="139"/>
      <c r="MV33" s="139"/>
      <c r="MW33" s="139"/>
      <c r="MX33" s="139"/>
      <c r="MY33" s="139"/>
      <c r="MZ33" s="139"/>
      <c r="NA33" s="139"/>
      <c r="NB33" s="139"/>
      <c r="NC33" s="139"/>
      <c r="ND33" s="139"/>
      <c r="NE33" s="139"/>
      <c r="NF33" s="139"/>
      <c r="NG33" s="139"/>
      <c r="NH33" s="139"/>
      <c r="NI33" s="139"/>
      <c r="NJ33" s="139"/>
      <c r="NK33" s="139"/>
      <c r="NL33" s="139"/>
      <c r="NM33" s="139"/>
      <c r="NN33" s="139"/>
      <c r="NO33" s="139"/>
      <c r="NP33" s="139"/>
      <c r="NQ33" s="139"/>
      <c r="NR33" s="139"/>
      <c r="NS33" s="139"/>
      <c r="NT33" s="139"/>
      <c r="NU33" s="139"/>
      <c r="NV33" s="139"/>
      <c r="NW33" s="139"/>
      <c r="NX33" s="139"/>
      <c r="NY33" s="139"/>
      <c r="NZ33" s="139"/>
      <c r="OA33" s="139"/>
      <c r="OB33" s="139"/>
      <c r="OC33" s="139"/>
      <c r="OD33" s="139"/>
      <c r="OE33" s="139"/>
      <c r="OF33" s="139"/>
      <c r="OG33" s="139"/>
      <c r="OH33" s="139"/>
      <c r="OI33" s="139"/>
      <c r="OJ33" s="139"/>
      <c r="OK33" s="139"/>
      <c r="OL33" s="139"/>
      <c r="OM33" s="139"/>
      <c r="ON33" s="139"/>
      <c r="OO33" s="139"/>
      <c r="OP33" s="139"/>
      <c r="OQ33" s="139"/>
      <c r="OR33" s="139"/>
      <c r="OS33" s="139"/>
      <c r="OT33" s="139"/>
      <c r="OU33" s="139"/>
      <c r="OV33" s="139"/>
      <c r="OW33" s="139"/>
      <c r="OX33" s="139"/>
      <c r="OY33" s="139"/>
      <c r="OZ33" s="139"/>
      <c r="PA33" s="139"/>
      <c r="PB33" s="139"/>
      <c r="PC33" s="139"/>
      <c r="PD33" s="139"/>
      <c r="PE33" s="139"/>
      <c r="PF33" s="139"/>
      <c r="PG33" s="139"/>
      <c r="PH33" s="139"/>
      <c r="PI33" s="139"/>
      <c r="PJ33" s="139"/>
      <c r="PK33" s="139"/>
      <c r="PL33" s="139"/>
      <c r="PM33" s="139"/>
      <c r="PN33" s="139"/>
      <c r="PO33" s="139"/>
      <c r="PP33" s="139"/>
      <c r="PQ33" s="139"/>
      <c r="PR33" s="139"/>
      <c r="PS33" s="139"/>
      <c r="PT33" s="139"/>
      <c r="PU33" s="139"/>
      <c r="PV33" s="139"/>
      <c r="PW33" s="139"/>
      <c r="PX33" s="139"/>
      <c r="PY33" s="139"/>
      <c r="PZ33" s="139"/>
      <c r="QA33" s="139"/>
      <c r="QB33" s="139"/>
      <c r="QC33" s="139"/>
      <c r="QD33" s="139"/>
      <c r="QE33" s="139"/>
      <c r="QF33" s="139"/>
      <c r="QG33" s="139"/>
      <c r="QH33" s="139"/>
      <c r="QI33" s="139"/>
      <c r="QJ33" s="139"/>
      <c r="QK33" s="139"/>
      <c r="QL33" s="139"/>
      <c r="QM33" s="139"/>
      <c r="QN33" s="139"/>
      <c r="QO33" s="139"/>
      <c r="QP33" s="139"/>
      <c r="QQ33" s="139"/>
      <c r="QR33" s="139"/>
      <c r="QS33" s="139"/>
      <c r="QT33" s="139"/>
      <c r="QU33" s="139"/>
      <c r="QV33" s="139"/>
      <c r="QW33" s="139"/>
      <c r="QX33" s="139"/>
      <c r="QY33" s="139"/>
      <c r="QZ33" s="139"/>
      <c r="RA33" s="139"/>
      <c r="RB33" s="139"/>
      <c r="RC33" s="139"/>
      <c r="RD33" s="139"/>
      <c r="RE33" s="139"/>
      <c r="RF33" s="139"/>
      <c r="RG33" s="139"/>
      <c r="RH33" s="139"/>
      <c r="RI33" s="139"/>
      <c r="RJ33" s="139"/>
      <c r="RK33" s="139"/>
      <c r="RL33" s="139"/>
      <c r="RM33" s="139"/>
      <c r="RN33" s="139"/>
      <c r="RO33" s="139"/>
      <c r="RP33" s="139"/>
      <c r="RQ33" s="139"/>
      <c r="RR33" s="139"/>
      <c r="RS33" s="139"/>
      <c r="RT33" s="139"/>
      <c r="RU33" s="139"/>
      <c r="RV33" s="139"/>
      <c r="RW33" s="139"/>
      <c r="RX33" s="139"/>
      <c r="RY33" s="139"/>
      <c r="RZ33" s="139"/>
      <c r="SA33" s="139"/>
      <c r="SB33" s="139"/>
      <c r="SC33" s="139"/>
      <c r="SD33" s="139"/>
      <c r="SE33" s="139"/>
      <c r="SF33" s="139"/>
      <c r="SG33" s="139"/>
      <c r="SH33" s="139"/>
      <c r="SI33" s="139"/>
      <c r="SJ33" s="139"/>
      <c r="SK33" s="139"/>
      <c r="SL33" s="139"/>
      <c r="SM33" s="139"/>
      <c r="SN33" s="139"/>
      <c r="SO33" s="139"/>
      <c r="SP33" s="139"/>
      <c r="SQ33" s="139"/>
      <c r="SR33" s="139"/>
      <c r="SS33" s="139"/>
      <c r="ST33" s="139"/>
      <c r="SU33" s="139"/>
      <c r="SV33" s="139"/>
      <c r="SW33" s="139"/>
      <c r="SX33" s="139"/>
      <c r="SY33" s="139"/>
      <c r="SZ33" s="139"/>
      <c r="TA33" s="139"/>
      <c r="TB33" s="139"/>
      <c r="TC33" s="139"/>
      <c r="TD33" s="139"/>
      <c r="TE33" s="139"/>
      <c r="TF33" s="139"/>
      <c r="TG33" s="139"/>
      <c r="TH33" s="139"/>
      <c r="TI33" s="139"/>
      <c r="TJ33" s="139"/>
      <c r="TK33" s="139"/>
      <c r="TL33" s="139"/>
      <c r="TM33" s="139"/>
      <c r="TN33" s="139"/>
      <c r="TO33" s="139"/>
      <c r="TP33" s="139"/>
      <c r="TQ33" s="139"/>
      <c r="TR33" s="139"/>
      <c r="TS33" s="139"/>
      <c r="TT33" s="139"/>
      <c r="TU33" s="139"/>
      <c r="TV33" s="139"/>
      <c r="TW33" s="139"/>
      <c r="TX33" s="139"/>
      <c r="TY33" s="139"/>
      <c r="TZ33" s="139"/>
      <c r="UA33" s="139"/>
      <c r="UB33" s="139"/>
      <c r="UC33" s="139"/>
      <c r="UD33" s="139"/>
      <c r="UE33" s="139"/>
      <c r="UF33" s="139"/>
      <c r="UG33" s="139"/>
      <c r="UH33" s="139"/>
      <c r="UI33" s="139"/>
      <c r="UJ33" s="139"/>
      <c r="UK33" s="139"/>
      <c r="UL33" s="139"/>
      <c r="UM33" s="139"/>
      <c r="UN33" s="139"/>
      <c r="UO33" s="139"/>
      <c r="UP33" s="139"/>
      <c r="UQ33" s="139"/>
      <c r="UR33" s="139"/>
      <c r="US33" s="139"/>
      <c r="UT33" s="139"/>
      <c r="UU33" s="139"/>
      <c r="UV33" s="139"/>
      <c r="UW33" s="139"/>
      <c r="UX33" s="139"/>
      <c r="UY33" s="139"/>
      <c r="UZ33" s="139"/>
      <c r="VA33" s="139"/>
      <c r="VB33" s="139"/>
      <c r="VC33" s="139"/>
      <c r="VD33" s="139"/>
      <c r="VE33" s="139"/>
      <c r="VF33" s="139"/>
      <c r="VG33" s="139"/>
      <c r="VH33" s="139"/>
      <c r="VI33" s="139"/>
      <c r="VJ33" s="139"/>
      <c r="VK33" s="139"/>
      <c r="VL33" s="139"/>
      <c r="VM33" s="139"/>
      <c r="VN33" s="139"/>
      <c r="VO33" s="139"/>
      <c r="VP33" s="139"/>
      <c r="VQ33" s="139"/>
      <c r="VR33" s="139"/>
      <c r="VS33" s="139"/>
      <c r="VT33" s="139"/>
      <c r="VU33" s="139"/>
      <c r="VV33" s="139"/>
      <c r="VW33" s="139"/>
      <c r="VX33" s="139"/>
      <c r="VY33" s="139"/>
      <c r="VZ33" s="139"/>
      <c r="WA33" s="139"/>
      <c r="WB33" s="139"/>
      <c r="WC33" s="139"/>
      <c r="WD33" s="139"/>
      <c r="WE33" s="139"/>
      <c r="WF33" s="139"/>
      <c r="WG33" s="139"/>
      <c r="WH33" s="139"/>
      <c r="WI33" s="139"/>
      <c r="WJ33" s="139"/>
      <c r="WK33" s="139"/>
      <c r="WL33" s="139"/>
      <c r="WM33" s="139"/>
      <c r="WN33" s="139"/>
      <c r="WO33" s="139"/>
      <c r="WP33" s="139"/>
      <c r="WQ33" s="139"/>
      <c r="WR33" s="139"/>
      <c r="WS33" s="139"/>
      <c r="WT33" s="139"/>
      <c r="WU33" s="139"/>
      <c r="WV33" s="139"/>
      <c r="WW33" s="139"/>
      <c r="WX33" s="139"/>
      <c r="WY33" s="139"/>
      <c r="WZ33" s="139"/>
      <c r="XA33" s="139"/>
      <c r="XB33" s="139"/>
      <c r="XC33" s="139"/>
      <c r="XD33" s="139"/>
      <c r="XE33" s="139"/>
      <c r="XF33" s="139"/>
      <c r="XG33" s="139"/>
      <c r="XH33" s="139"/>
      <c r="XI33" s="139"/>
      <c r="XJ33" s="139"/>
      <c r="XK33" s="139"/>
      <c r="XL33" s="139"/>
      <c r="XM33" s="139"/>
      <c r="XN33" s="139"/>
      <c r="XO33" s="139"/>
      <c r="XP33" s="139"/>
      <c r="XQ33" s="139"/>
      <c r="XR33" s="139"/>
      <c r="XS33" s="139"/>
      <c r="XT33" s="139"/>
      <c r="XU33" s="139"/>
      <c r="XV33" s="139"/>
      <c r="XW33" s="139"/>
      <c r="XX33" s="139"/>
      <c r="XY33" s="139"/>
      <c r="XZ33" s="139"/>
      <c r="YA33" s="139"/>
      <c r="YB33" s="139"/>
      <c r="YC33" s="139"/>
      <c r="YD33" s="139"/>
      <c r="YE33" s="139"/>
      <c r="YF33" s="139"/>
      <c r="YG33" s="139"/>
      <c r="YH33" s="139"/>
      <c r="YI33" s="139"/>
      <c r="YJ33" s="139"/>
      <c r="YK33" s="139"/>
      <c r="YL33" s="139"/>
      <c r="YM33" s="139"/>
      <c r="YN33" s="139"/>
      <c r="YO33" s="139"/>
      <c r="YP33" s="139"/>
      <c r="YQ33" s="139"/>
      <c r="YR33" s="139"/>
      <c r="YS33" s="139"/>
      <c r="YT33" s="139"/>
      <c r="YU33" s="139"/>
      <c r="YV33" s="139"/>
      <c r="YW33" s="139"/>
      <c r="YX33" s="139"/>
      <c r="YY33" s="139"/>
      <c r="YZ33" s="139"/>
      <c r="ZA33" s="139"/>
      <c r="ZB33" s="139"/>
      <c r="ZC33" s="139"/>
      <c r="ZD33" s="139"/>
      <c r="ZE33" s="139"/>
      <c r="ZF33" s="139"/>
      <c r="ZG33" s="139"/>
      <c r="ZH33" s="139"/>
      <c r="ZI33" s="139"/>
      <c r="ZJ33" s="139"/>
      <c r="ZK33" s="139"/>
      <c r="ZL33" s="139"/>
      <c r="ZM33" s="139"/>
      <c r="ZN33" s="139"/>
      <c r="ZO33" s="139"/>
      <c r="ZP33" s="139"/>
      <c r="ZQ33" s="139"/>
      <c r="ZR33" s="139"/>
      <c r="ZS33" s="139"/>
      <c r="ZT33" s="139"/>
      <c r="ZU33" s="139"/>
      <c r="ZV33" s="139"/>
      <c r="ZW33" s="139"/>
      <c r="ZX33" s="139"/>
      <c r="ZY33" s="139"/>
      <c r="ZZ33" s="139"/>
      <c r="AAA33" s="139"/>
      <c r="AAB33" s="139"/>
      <c r="AAC33" s="139"/>
      <c r="AAD33" s="139"/>
      <c r="AAE33" s="139"/>
      <c r="AAF33" s="139"/>
      <c r="AAG33" s="139"/>
      <c r="AAH33" s="139"/>
      <c r="AAI33" s="139"/>
      <c r="AAJ33" s="139"/>
      <c r="AAK33" s="139"/>
      <c r="AAL33" s="139"/>
      <c r="AAM33" s="139"/>
      <c r="AAN33" s="139"/>
      <c r="AAO33" s="139"/>
      <c r="AAP33" s="139"/>
      <c r="AAQ33" s="139"/>
      <c r="AAR33" s="139"/>
      <c r="AAS33" s="139"/>
      <c r="AAT33" s="139"/>
      <c r="AAU33" s="139"/>
      <c r="AAV33" s="139"/>
      <c r="AAW33" s="139"/>
      <c r="AAX33" s="139"/>
      <c r="AAY33" s="139"/>
      <c r="AAZ33" s="139"/>
      <c r="ABA33" s="139"/>
      <c r="ABB33" s="139"/>
      <c r="ABC33" s="139"/>
      <c r="ABD33" s="139"/>
      <c r="ABE33" s="139"/>
      <c r="ABF33" s="139"/>
      <c r="ABG33" s="139"/>
      <c r="ABH33" s="139"/>
      <c r="ABI33" s="139"/>
      <c r="ABJ33" s="139"/>
      <c r="ABK33" s="139"/>
      <c r="ABL33" s="139"/>
      <c r="ABM33" s="139"/>
      <c r="ABN33" s="139"/>
      <c r="ABO33" s="139"/>
      <c r="ABP33" s="139"/>
      <c r="ABQ33" s="139"/>
      <c r="ABR33" s="139"/>
      <c r="ABS33" s="139"/>
      <c r="ABT33" s="139"/>
      <c r="ABU33" s="139"/>
      <c r="ABV33" s="139"/>
      <c r="ABW33" s="139"/>
      <c r="ABX33" s="139"/>
      <c r="ABY33" s="139"/>
      <c r="ABZ33" s="139"/>
      <c r="ACA33" s="139"/>
      <c r="ACB33" s="139"/>
      <c r="ACC33" s="139"/>
      <c r="ACD33" s="139"/>
      <c r="ACE33" s="139"/>
      <c r="ACF33" s="139"/>
      <c r="ACG33" s="139"/>
      <c r="ACH33" s="139"/>
      <c r="ACI33" s="139"/>
      <c r="ACJ33" s="139"/>
      <c r="ACK33" s="139"/>
      <c r="ACL33" s="139"/>
      <c r="ACM33" s="139"/>
      <c r="ACN33" s="139"/>
      <c r="ACO33" s="139"/>
      <c r="ACP33" s="139"/>
      <c r="ACQ33" s="139"/>
      <c r="ACR33" s="139"/>
      <c r="ACS33" s="139"/>
      <c r="ACT33" s="139"/>
      <c r="ACU33" s="139"/>
      <c r="ACV33" s="139"/>
      <c r="ACW33" s="139"/>
      <c r="ACX33" s="139"/>
      <c r="ACY33" s="139"/>
      <c r="ACZ33" s="139"/>
      <c r="ADA33" s="139"/>
      <c r="ADB33" s="139"/>
      <c r="ADC33" s="139"/>
      <c r="ADD33" s="139"/>
      <c r="ADE33" s="139"/>
      <c r="ADF33" s="139"/>
      <c r="ADG33" s="139"/>
      <c r="ADH33" s="139"/>
      <c r="ADI33" s="139"/>
      <c r="ADJ33" s="139"/>
      <c r="ADK33" s="139"/>
      <c r="ADL33" s="139"/>
      <c r="ADM33" s="139"/>
      <c r="ADN33" s="139"/>
      <c r="ADO33" s="139"/>
      <c r="ADP33" s="139"/>
      <c r="ADQ33" s="139"/>
      <c r="ADR33" s="139"/>
      <c r="ADS33" s="139"/>
      <c r="ADT33" s="139"/>
      <c r="ADU33" s="139"/>
      <c r="ADV33" s="139"/>
      <c r="ADW33" s="139"/>
      <c r="ADX33" s="139"/>
      <c r="ADY33" s="139"/>
      <c r="ADZ33" s="139"/>
      <c r="AEA33" s="139"/>
      <c r="AEB33" s="139"/>
      <c r="AEC33" s="139"/>
      <c r="AED33" s="139"/>
      <c r="AEE33" s="139"/>
      <c r="AEF33" s="139"/>
      <c r="AEG33" s="139"/>
      <c r="AEH33" s="139"/>
      <c r="AEI33" s="139"/>
      <c r="AEJ33" s="139"/>
      <c r="AEK33" s="139"/>
      <c r="AEL33" s="139"/>
      <c r="AEM33" s="139"/>
      <c r="AEN33" s="139"/>
      <c r="AEO33" s="139"/>
      <c r="AEP33" s="139"/>
      <c r="AEQ33" s="139"/>
      <c r="AER33" s="139"/>
      <c r="AES33" s="139"/>
      <c r="AET33" s="139"/>
      <c r="AEU33" s="139"/>
      <c r="AEV33" s="139"/>
      <c r="AEW33" s="139"/>
      <c r="AEX33" s="139"/>
      <c r="AEY33" s="139"/>
      <c r="AEZ33" s="139"/>
      <c r="AFA33" s="139"/>
      <c r="AFB33" s="139"/>
      <c r="AFC33" s="139"/>
      <c r="AFD33" s="139"/>
      <c r="AFE33" s="139"/>
      <c r="AFF33" s="139"/>
      <c r="AFG33" s="139"/>
      <c r="AFH33" s="139"/>
      <c r="AFI33" s="139"/>
      <c r="AFJ33" s="139"/>
      <c r="AFK33" s="139"/>
      <c r="AFL33" s="139"/>
      <c r="AFM33" s="139"/>
      <c r="AFN33" s="139"/>
      <c r="AFO33" s="139"/>
      <c r="AFP33" s="139"/>
      <c r="AFQ33" s="139"/>
      <c r="AFR33" s="139"/>
      <c r="AFS33" s="139"/>
      <c r="AFT33" s="139"/>
      <c r="AFU33" s="139"/>
      <c r="AFV33" s="139"/>
      <c r="AFW33" s="139"/>
      <c r="AFX33" s="139"/>
      <c r="AFY33" s="139"/>
      <c r="AFZ33" s="139"/>
      <c r="AGA33" s="139"/>
      <c r="AGB33" s="139"/>
      <c r="AGC33" s="139"/>
      <c r="AGD33" s="139"/>
      <c r="AGE33" s="139"/>
      <c r="AGF33" s="139"/>
      <c r="AGG33" s="139"/>
      <c r="AGH33" s="139"/>
      <c r="AGI33" s="139"/>
      <c r="AGJ33" s="139"/>
      <c r="AGK33" s="139"/>
      <c r="AGL33" s="139"/>
      <c r="AGM33" s="139"/>
      <c r="AGN33" s="139"/>
      <c r="AGO33" s="139"/>
      <c r="AGP33" s="139"/>
      <c r="AGQ33" s="139"/>
      <c r="AGR33" s="139"/>
      <c r="AGS33" s="139"/>
      <c r="AGT33" s="139"/>
      <c r="AGU33" s="139"/>
      <c r="AGV33" s="139"/>
      <c r="AGW33" s="139"/>
      <c r="AGX33" s="139"/>
      <c r="AGY33" s="139"/>
      <c r="AGZ33" s="139"/>
      <c r="AHA33" s="139"/>
      <c r="AHB33" s="139"/>
      <c r="AHC33" s="139"/>
      <c r="AHD33" s="139"/>
      <c r="AHE33" s="139"/>
      <c r="AHF33" s="139"/>
      <c r="AHG33" s="139"/>
      <c r="AHH33" s="139"/>
      <c r="AHI33" s="139"/>
      <c r="AHJ33" s="139"/>
      <c r="AHK33" s="139"/>
      <c r="AHL33" s="139"/>
      <c r="AHM33" s="139"/>
      <c r="AHN33" s="139"/>
      <c r="AHO33" s="139"/>
      <c r="AHP33" s="139"/>
      <c r="AHQ33" s="139"/>
      <c r="AHR33" s="139"/>
      <c r="AHS33" s="139"/>
      <c r="AHT33" s="139"/>
      <c r="AHU33" s="139"/>
      <c r="AHV33" s="139"/>
      <c r="AHW33" s="139"/>
      <c r="AHX33" s="139"/>
      <c r="AHY33" s="139"/>
      <c r="AHZ33" s="139"/>
      <c r="AIA33" s="139"/>
      <c r="AIB33" s="139"/>
      <c r="AIC33" s="139"/>
      <c r="AID33" s="139"/>
      <c r="AIE33" s="139"/>
      <c r="AIF33" s="139"/>
      <c r="AIG33" s="139"/>
      <c r="AIH33" s="139"/>
      <c r="AII33" s="139"/>
      <c r="AIJ33" s="139"/>
      <c r="AIK33" s="139"/>
      <c r="AIL33" s="139"/>
      <c r="AIM33" s="139"/>
      <c r="AIN33" s="139"/>
      <c r="AIO33" s="139"/>
      <c r="AIP33" s="139"/>
      <c r="AIQ33" s="139"/>
      <c r="AIR33" s="139"/>
      <c r="AIS33" s="139"/>
      <c r="AIT33" s="139"/>
      <c r="AIU33" s="139"/>
      <c r="AIV33" s="139"/>
      <c r="AIW33" s="139"/>
      <c r="AIX33" s="139"/>
      <c r="AIY33" s="139"/>
      <c r="AIZ33" s="139"/>
      <c r="AJA33" s="139"/>
      <c r="AJB33" s="139"/>
      <c r="AJC33" s="139"/>
      <c r="AJD33" s="139"/>
      <c r="AJE33" s="139"/>
      <c r="AJF33" s="139"/>
      <c r="AJG33" s="139"/>
      <c r="AJH33" s="139"/>
      <c r="AJI33" s="139"/>
      <c r="AJJ33" s="139"/>
      <c r="AJK33" s="139"/>
      <c r="AJL33" s="139"/>
      <c r="AJM33" s="139"/>
      <c r="AJN33" s="139"/>
      <c r="AJO33" s="139"/>
      <c r="AJP33" s="139"/>
      <c r="AJQ33" s="139"/>
      <c r="AJR33" s="139"/>
      <c r="AJS33" s="139"/>
      <c r="AJT33" s="139"/>
      <c r="AJU33" s="139"/>
      <c r="AJV33" s="139"/>
      <c r="AJW33" s="139"/>
      <c r="AJX33" s="139"/>
      <c r="AJY33" s="139"/>
      <c r="AJZ33" s="139"/>
      <c r="AKA33" s="139"/>
      <c r="AKB33" s="139"/>
      <c r="AKC33" s="139"/>
      <c r="AKD33" s="139"/>
      <c r="AKE33" s="139"/>
      <c r="AKF33" s="139"/>
      <c r="AKG33" s="139"/>
      <c r="AKH33" s="139"/>
      <c r="AKI33" s="139"/>
      <c r="AKJ33" s="139"/>
      <c r="AKK33" s="139"/>
      <c r="AKL33" s="139"/>
      <c r="AKM33" s="139"/>
      <c r="AKN33" s="139"/>
      <c r="AKO33" s="139"/>
      <c r="AKP33" s="139"/>
      <c r="AKQ33" s="139"/>
      <c r="AKR33" s="139"/>
      <c r="AKS33" s="139"/>
      <c r="AKT33" s="139"/>
      <c r="AKU33" s="139"/>
      <c r="AKV33" s="139"/>
      <c r="AKW33" s="139"/>
      <c r="AKX33" s="139"/>
      <c r="AKY33" s="139"/>
      <c r="AKZ33" s="139"/>
      <c r="ALA33" s="139"/>
      <c r="ALB33" s="139"/>
      <c r="ALC33" s="139"/>
      <c r="ALD33" s="139"/>
      <c r="ALE33" s="139"/>
      <c r="ALF33" s="139"/>
      <c r="ALG33" s="139"/>
      <c r="ALH33" s="139"/>
      <c r="ALI33" s="139"/>
      <c r="ALJ33" s="139"/>
      <c r="ALK33" s="139"/>
      <c r="ALL33" s="139"/>
      <c r="ALM33" s="139"/>
      <c r="ALN33" s="139"/>
      <c r="ALO33" s="139"/>
      <c r="ALP33" s="139"/>
      <c r="ALQ33" s="139"/>
      <c r="ALR33" s="139"/>
      <c r="ALS33" s="139"/>
      <c r="ALT33" s="139"/>
      <c r="ALU33" s="139"/>
      <c r="ALV33" s="139"/>
      <c r="ALW33" s="139"/>
      <c r="ALX33" s="139"/>
      <c r="ALY33" s="139"/>
      <c r="ALZ33" s="139"/>
      <c r="AMA33" s="139"/>
      <c r="AMB33" s="139"/>
      <c r="AMC33" s="139"/>
      <c r="AMD33" s="139"/>
      <c r="AME33" s="139"/>
      <c r="AMF33" s="139"/>
      <c r="AMG33" s="139"/>
      <c r="AMH33" s="139"/>
      <c r="AMI33" s="139"/>
      <c r="AMJ33" s="139"/>
    </row>
    <row r="34" spans="1:1024" s="140" customFormat="1" x14ac:dyDescent="0.25">
      <c r="A34" s="217" t="s">
        <v>53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181"/>
      <c r="N34" s="181"/>
      <c r="O34" s="181"/>
      <c r="P34" s="181"/>
      <c r="Q34" s="181"/>
      <c r="R34" s="182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39"/>
      <c r="EL34" s="139"/>
      <c r="EM34" s="139"/>
      <c r="EN34" s="139"/>
      <c r="EO34" s="139"/>
      <c r="EP34" s="139"/>
      <c r="EQ34" s="139"/>
      <c r="ER34" s="139"/>
      <c r="ES34" s="139"/>
      <c r="ET34" s="139"/>
      <c r="EU34" s="139"/>
      <c r="EV34" s="139"/>
      <c r="EW34" s="139"/>
      <c r="EX34" s="139"/>
      <c r="EY34" s="139"/>
      <c r="EZ34" s="139"/>
      <c r="FA34" s="139"/>
      <c r="FB34" s="139"/>
      <c r="FC34" s="139"/>
      <c r="FD34" s="139"/>
      <c r="FE34" s="139"/>
      <c r="FF34" s="139"/>
      <c r="FG34" s="139"/>
      <c r="FH34" s="139"/>
      <c r="FI34" s="139"/>
      <c r="FJ34" s="139"/>
      <c r="FK34" s="139"/>
      <c r="FL34" s="139"/>
      <c r="FM34" s="139"/>
      <c r="FN34" s="139"/>
      <c r="FO34" s="139"/>
      <c r="FP34" s="139"/>
      <c r="FQ34" s="139"/>
      <c r="FR34" s="139"/>
      <c r="FS34" s="139"/>
      <c r="FT34" s="139"/>
      <c r="FU34" s="139"/>
      <c r="FV34" s="139"/>
      <c r="FW34" s="139"/>
      <c r="FX34" s="139"/>
      <c r="FY34" s="139"/>
      <c r="FZ34" s="139"/>
      <c r="GA34" s="139"/>
      <c r="GB34" s="139"/>
      <c r="GC34" s="139"/>
      <c r="GD34" s="139"/>
      <c r="GE34" s="139"/>
      <c r="GF34" s="139"/>
      <c r="GG34" s="139"/>
      <c r="GH34" s="139"/>
      <c r="GI34" s="139"/>
      <c r="GJ34" s="139"/>
      <c r="GK34" s="139"/>
      <c r="GL34" s="139"/>
      <c r="GM34" s="139"/>
      <c r="GN34" s="139"/>
      <c r="GO34" s="139"/>
      <c r="GP34" s="139"/>
      <c r="GQ34" s="139"/>
      <c r="GR34" s="139"/>
      <c r="GS34" s="139"/>
      <c r="GT34" s="139"/>
      <c r="GU34" s="139"/>
      <c r="GV34" s="139"/>
      <c r="GW34" s="139"/>
      <c r="GX34" s="139"/>
      <c r="GY34" s="139"/>
      <c r="GZ34" s="139"/>
      <c r="HA34" s="139"/>
      <c r="HB34" s="139"/>
      <c r="HC34" s="139"/>
      <c r="HD34" s="139"/>
      <c r="HE34" s="139"/>
      <c r="HF34" s="139"/>
      <c r="HG34" s="139"/>
      <c r="HH34" s="139"/>
      <c r="HI34" s="139"/>
      <c r="HJ34" s="139"/>
      <c r="HK34" s="139"/>
      <c r="HL34" s="139"/>
      <c r="HM34" s="139"/>
      <c r="HN34" s="139"/>
      <c r="HO34" s="139"/>
      <c r="HP34" s="139"/>
      <c r="HQ34" s="139"/>
      <c r="HR34" s="139"/>
      <c r="HS34" s="139"/>
      <c r="HT34" s="139"/>
      <c r="HU34" s="139"/>
      <c r="HV34" s="139"/>
      <c r="HW34" s="139"/>
      <c r="HX34" s="139"/>
      <c r="HY34" s="139"/>
      <c r="HZ34" s="139"/>
      <c r="IA34" s="139"/>
      <c r="IB34" s="139"/>
      <c r="IC34" s="139"/>
      <c r="ID34" s="139"/>
      <c r="IE34" s="139"/>
      <c r="IF34" s="139"/>
      <c r="IG34" s="139"/>
      <c r="IH34" s="139"/>
      <c r="II34" s="139"/>
      <c r="IJ34" s="139"/>
      <c r="IK34" s="139"/>
      <c r="IL34" s="139"/>
      <c r="IM34" s="139"/>
      <c r="IN34" s="139"/>
      <c r="IO34" s="139"/>
      <c r="IP34" s="139"/>
      <c r="IQ34" s="139"/>
      <c r="IR34" s="139"/>
      <c r="IS34" s="139"/>
      <c r="IT34" s="139"/>
      <c r="IU34" s="139"/>
      <c r="IV34" s="139"/>
      <c r="IW34" s="139"/>
      <c r="IX34" s="139"/>
      <c r="IY34" s="139"/>
      <c r="IZ34" s="139"/>
      <c r="JA34" s="139"/>
      <c r="JB34" s="139"/>
      <c r="JC34" s="139"/>
      <c r="JD34" s="139"/>
      <c r="JE34" s="139"/>
      <c r="JF34" s="139"/>
      <c r="JG34" s="139"/>
      <c r="JH34" s="139"/>
      <c r="JI34" s="139"/>
      <c r="JJ34" s="139"/>
      <c r="JK34" s="139"/>
      <c r="JL34" s="139"/>
      <c r="JM34" s="139"/>
      <c r="JN34" s="139"/>
      <c r="JO34" s="139"/>
      <c r="JP34" s="139"/>
      <c r="JQ34" s="139"/>
      <c r="JR34" s="139"/>
      <c r="JS34" s="139"/>
      <c r="JT34" s="139"/>
      <c r="JU34" s="139"/>
      <c r="JV34" s="139"/>
      <c r="JW34" s="139"/>
      <c r="JX34" s="139"/>
      <c r="JY34" s="139"/>
      <c r="JZ34" s="139"/>
      <c r="KA34" s="139"/>
      <c r="KB34" s="139"/>
      <c r="KC34" s="139"/>
      <c r="KD34" s="139"/>
      <c r="KE34" s="139"/>
      <c r="KF34" s="139"/>
      <c r="KG34" s="139"/>
      <c r="KH34" s="139"/>
      <c r="KI34" s="139"/>
      <c r="KJ34" s="139"/>
      <c r="KK34" s="139"/>
      <c r="KL34" s="139"/>
      <c r="KM34" s="139"/>
      <c r="KN34" s="139"/>
      <c r="KO34" s="139"/>
      <c r="KP34" s="139"/>
      <c r="KQ34" s="139"/>
      <c r="KR34" s="139"/>
      <c r="KS34" s="139"/>
      <c r="KT34" s="139"/>
      <c r="KU34" s="139"/>
      <c r="KV34" s="139"/>
      <c r="KW34" s="139"/>
      <c r="KX34" s="139"/>
      <c r="KY34" s="139"/>
      <c r="KZ34" s="139"/>
      <c r="LA34" s="139"/>
      <c r="LB34" s="139"/>
      <c r="LC34" s="139"/>
      <c r="LD34" s="139"/>
      <c r="LE34" s="139"/>
      <c r="LF34" s="139"/>
      <c r="LG34" s="139"/>
      <c r="LH34" s="139"/>
      <c r="LI34" s="139"/>
      <c r="LJ34" s="139"/>
      <c r="LK34" s="139"/>
      <c r="LL34" s="139"/>
      <c r="LM34" s="139"/>
      <c r="LN34" s="139"/>
      <c r="LO34" s="139"/>
      <c r="LP34" s="139"/>
      <c r="LQ34" s="139"/>
      <c r="LR34" s="139"/>
      <c r="LS34" s="139"/>
      <c r="LT34" s="139"/>
      <c r="LU34" s="139"/>
      <c r="LV34" s="139"/>
      <c r="LW34" s="139"/>
      <c r="LX34" s="139"/>
      <c r="LY34" s="139"/>
      <c r="LZ34" s="139"/>
      <c r="MA34" s="139"/>
      <c r="MB34" s="139"/>
      <c r="MC34" s="139"/>
      <c r="MD34" s="139"/>
      <c r="ME34" s="139"/>
      <c r="MF34" s="139"/>
      <c r="MG34" s="139"/>
      <c r="MH34" s="139"/>
      <c r="MI34" s="139"/>
      <c r="MJ34" s="139"/>
      <c r="MK34" s="139"/>
      <c r="ML34" s="139"/>
      <c r="MM34" s="139"/>
      <c r="MN34" s="139"/>
      <c r="MO34" s="139"/>
      <c r="MP34" s="139"/>
      <c r="MQ34" s="139"/>
      <c r="MR34" s="139"/>
      <c r="MS34" s="139"/>
      <c r="MT34" s="139"/>
      <c r="MU34" s="139"/>
      <c r="MV34" s="139"/>
      <c r="MW34" s="139"/>
      <c r="MX34" s="139"/>
      <c r="MY34" s="139"/>
      <c r="MZ34" s="139"/>
      <c r="NA34" s="139"/>
      <c r="NB34" s="139"/>
      <c r="NC34" s="139"/>
      <c r="ND34" s="139"/>
      <c r="NE34" s="139"/>
      <c r="NF34" s="139"/>
      <c r="NG34" s="139"/>
      <c r="NH34" s="139"/>
      <c r="NI34" s="139"/>
      <c r="NJ34" s="139"/>
      <c r="NK34" s="139"/>
      <c r="NL34" s="139"/>
      <c r="NM34" s="139"/>
      <c r="NN34" s="139"/>
      <c r="NO34" s="139"/>
      <c r="NP34" s="139"/>
      <c r="NQ34" s="139"/>
      <c r="NR34" s="139"/>
      <c r="NS34" s="139"/>
      <c r="NT34" s="139"/>
      <c r="NU34" s="139"/>
      <c r="NV34" s="139"/>
      <c r="NW34" s="139"/>
      <c r="NX34" s="139"/>
      <c r="NY34" s="139"/>
      <c r="NZ34" s="139"/>
      <c r="OA34" s="139"/>
      <c r="OB34" s="139"/>
      <c r="OC34" s="139"/>
      <c r="OD34" s="139"/>
      <c r="OE34" s="139"/>
      <c r="OF34" s="139"/>
      <c r="OG34" s="139"/>
      <c r="OH34" s="139"/>
      <c r="OI34" s="139"/>
      <c r="OJ34" s="139"/>
      <c r="OK34" s="139"/>
      <c r="OL34" s="139"/>
      <c r="OM34" s="139"/>
      <c r="ON34" s="139"/>
      <c r="OO34" s="139"/>
      <c r="OP34" s="139"/>
      <c r="OQ34" s="139"/>
      <c r="OR34" s="139"/>
      <c r="OS34" s="139"/>
      <c r="OT34" s="139"/>
      <c r="OU34" s="139"/>
      <c r="OV34" s="139"/>
      <c r="OW34" s="139"/>
      <c r="OX34" s="139"/>
      <c r="OY34" s="139"/>
      <c r="OZ34" s="139"/>
      <c r="PA34" s="139"/>
      <c r="PB34" s="139"/>
      <c r="PC34" s="139"/>
      <c r="PD34" s="139"/>
      <c r="PE34" s="139"/>
      <c r="PF34" s="139"/>
      <c r="PG34" s="139"/>
      <c r="PH34" s="139"/>
      <c r="PI34" s="139"/>
      <c r="PJ34" s="139"/>
      <c r="PK34" s="139"/>
      <c r="PL34" s="139"/>
      <c r="PM34" s="139"/>
      <c r="PN34" s="139"/>
      <c r="PO34" s="139"/>
      <c r="PP34" s="139"/>
      <c r="PQ34" s="139"/>
      <c r="PR34" s="139"/>
      <c r="PS34" s="139"/>
      <c r="PT34" s="139"/>
      <c r="PU34" s="139"/>
      <c r="PV34" s="139"/>
      <c r="PW34" s="139"/>
      <c r="PX34" s="139"/>
      <c r="PY34" s="139"/>
      <c r="PZ34" s="139"/>
      <c r="QA34" s="139"/>
      <c r="QB34" s="139"/>
      <c r="QC34" s="139"/>
      <c r="QD34" s="139"/>
      <c r="QE34" s="139"/>
      <c r="QF34" s="139"/>
      <c r="QG34" s="139"/>
      <c r="QH34" s="139"/>
      <c r="QI34" s="139"/>
      <c r="QJ34" s="139"/>
      <c r="QK34" s="139"/>
      <c r="QL34" s="139"/>
      <c r="QM34" s="139"/>
      <c r="QN34" s="139"/>
      <c r="QO34" s="139"/>
      <c r="QP34" s="139"/>
      <c r="QQ34" s="139"/>
      <c r="QR34" s="139"/>
      <c r="QS34" s="139"/>
      <c r="QT34" s="139"/>
      <c r="QU34" s="139"/>
      <c r="QV34" s="139"/>
      <c r="QW34" s="139"/>
      <c r="QX34" s="139"/>
      <c r="QY34" s="139"/>
      <c r="QZ34" s="139"/>
      <c r="RA34" s="139"/>
      <c r="RB34" s="139"/>
      <c r="RC34" s="139"/>
      <c r="RD34" s="139"/>
      <c r="RE34" s="139"/>
      <c r="RF34" s="139"/>
      <c r="RG34" s="139"/>
      <c r="RH34" s="139"/>
      <c r="RI34" s="139"/>
      <c r="RJ34" s="139"/>
      <c r="RK34" s="139"/>
      <c r="RL34" s="139"/>
      <c r="RM34" s="139"/>
      <c r="RN34" s="139"/>
      <c r="RO34" s="139"/>
      <c r="RP34" s="139"/>
      <c r="RQ34" s="139"/>
      <c r="RR34" s="139"/>
      <c r="RS34" s="139"/>
      <c r="RT34" s="139"/>
      <c r="RU34" s="139"/>
      <c r="RV34" s="139"/>
      <c r="RW34" s="139"/>
      <c r="RX34" s="139"/>
      <c r="RY34" s="139"/>
      <c r="RZ34" s="139"/>
      <c r="SA34" s="139"/>
      <c r="SB34" s="139"/>
      <c r="SC34" s="139"/>
      <c r="SD34" s="139"/>
      <c r="SE34" s="139"/>
      <c r="SF34" s="139"/>
      <c r="SG34" s="139"/>
      <c r="SH34" s="139"/>
      <c r="SI34" s="139"/>
      <c r="SJ34" s="139"/>
      <c r="SK34" s="139"/>
      <c r="SL34" s="139"/>
      <c r="SM34" s="139"/>
      <c r="SN34" s="139"/>
      <c r="SO34" s="139"/>
      <c r="SP34" s="139"/>
      <c r="SQ34" s="139"/>
      <c r="SR34" s="139"/>
      <c r="SS34" s="139"/>
      <c r="ST34" s="139"/>
      <c r="SU34" s="139"/>
      <c r="SV34" s="139"/>
      <c r="SW34" s="139"/>
      <c r="SX34" s="139"/>
      <c r="SY34" s="139"/>
      <c r="SZ34" s="139"/>
      <c r="TA34" s="139"/>
      <c r="TB34" s="139"/>
      <c r="TC34" s="139"/>
      <c r="TD34" s="139"/>
      <c r="TE34" s="139"/>
      <c r="TF34" s="139"/>
      <c r="TG34" s="139"/>
      <c r="TH34" s="139"/>
      <c r="TI34" s="139"/>
      <c r="TJ34" s="139"/>
      <c r="TK34" s="139"/>
      <c r="TL34" s="139"/>
      <c r="TM34" s="139"/>
      <c r="TN34" s="139"/>
      <c r="TO34" s="139"/>
      <c r="TP34" s="139"/>
      <c r="TQ34" s="139"/>
      <c r="TR34" s="139"/>
      <c r="TS34" s="139"/>
      <c r="TT34" s="139"/>
      <c r="TU34" s="139"/>
      <c r="TV34" s="139"/>
      <c r="TW34" s="139"/>
      <c r="TX34" s="139"/>
      <c r="TY34" s="139"/>
      <c r="TZ34" s="139"/>
      <c r="UA34" s="139"/>
      <c r="UB34" s="139"/>
      <c r="UC34" s="139"/>
      <c r="UD34" s="139"/>
      <c r="UE34" s="139"/>
      <c r="UF34" s="139"/>
      <c r="UG34" s="139"/>
      <c r="UH34" s="139"/>
      <c r="UI34" s="139"/>
      <c r="UJ34" s="139"/>
      <c r="UK34" s="139"/>
      <c r="UL34" s="139"/>
      <c r="UM34" s="139"/>
      <c r="UN34" s="139"/>
      <c r="UO34" s="139"/>
      <c r="UP34" s="139"/>
      <c r="UQ34" s="139"/>
      <c r="UR34" s="139"/>
      <c r="US34" s="139"/>
      <c r="UT34" s="139"/>
      <c r="UU34" s="139"/>
      <c r="UV34" s="139"/>
      <c r="UW34" s="139"/>
      <c r="UX34" s="139"/>
      <c r="UY34" s="139"/>
      <c r="UZ34" s="139"/>
      <c r="VA34" s="139"/>
      <c r="VB34" s="139"/>
      <c r="VC34" s="139"/>
      <c r="VD34" s="139"/>
      <c r="VE34" s="139"/>
      <c r="VF34" s="139"/>
      <c r="VG34" s="139"/>
      <c r="VH34" s="139"/>
      <c r="VI34" s="139"/>
      <c r="VJ34" s="139"/>
      <c r="VK34" s="139"/>
      <c r="VL34" s="139"/>
      <c r="VM34" s="139"/>
      <c r="VN34" s="139"/>
      <c r="VO34" s="139"/>
      <c r="VP34" s="139"/>
      <c r="VQ34" s="139"/>
      <c r="VR34" s="139"/>
      <c r="VS34" s="139"/>
      <c r="VT34" s="139"/>
      <c r="VU34" s="139"/>
      <c r="VV34" s="139"/>
      <c r="VW34" s="139"/>
      <c r="VX34" s="139"/>
      <c r="VY34" s="139"/>
      <c r="VZ34" s="139"/>
      <c r="WA34" s="139"/>
      <c r="WB34" s="139"/>
      <c r="WC34" s="139"/>
      <c r="WD34" s="139"/>
      <c r="WE34" s="139"/>
      <c r="WF34" s="139"/>
      <c r="WG34" s="139"/>
      <c r="WH34" s="139"/>
      <c r="WI34" s="139"/>
      <c r="WJ34" s="139"/>
      <c r="WK34" s="139"/>
      <c r="WL34" s="139"/>
      <c r="WM34" s="139"/>
      <c r="WN34" s="139"/>
      <c r="WO34" s="139"/>
      <c r="WP34" s="139"/>
      <c r="WQ34" s="139"/>
      <c r="WR34" s="139"/>
      <c r="WS34" s="139"/>
      <c r="WT34" s="139"/>
      <c r="WU34" s="139"/>
      <c r="WV34" s="139"/>
      <c r="WW34" s="139"/>
      <c r="WX34" s="139"/>
      <c r="WY34" s="139"/>
      <c r="WZ34" s="139"/>
      <c r="XA34" s="139"/>
      <c r="XB34" s="139"/>
      <c r="XC34" s="139"/>
      <c r="XD34" s="139"/>
      <c r="XE34" s="139"/>
      <c r="XF34" s="139"/>
      <c r="XG34" s="139"/>
      <c r="XH34" s="139"/>
      <c r="XI34" s="139"/>
      <c r="XJ34" s="139"/>
      <c r="XK34" s="139"/>
      <c r="XL34" s="139"/>
      <c r="XM34" s="139"/>
      <c r="XN34" s="139"/>
      <c r="XO34" s="139"/>
      <c r="XP34" s="139"/>
      <c r="XQ34" s="139"/>
      <c r="XR34" s="139"/>
      <c r="XS34" s="139"/>
      <c r="XT34" s="139"/>
      <c r="XU34" s="139"/>
      <c r="XV34" s="139"/>
      <c r="XW34" s="139"/>
      <c r="XX34" s="139"/>
      <c r="XY34" s="139"/>
      <c r="XZ34" s="139"/>
      <c r="YA34" s="139"/>
      <c r="YB34" s="139"/>
      <c r="YC34" s="139"/>
      <c r="YD34" s="139"/>
      <c r="YE34" s="139"/>
      <c r="YF34" s="139"/>
      <c r="YG34" s="139"/>
      <c r="YH34" s="139"/>
      <c r="YI34" s="139"/>
      <c r="YJ34" s="139"/>
      <c r="YK34" s="139"/>
      <c r="YL34" s="139"/>
      <c r="YM34" s="139"/>
      <c r="YN34" s="139"/>
      <c r="YO34" s="139"/>
      <c r="YP34" s="139"/>
      <c r="YQ34" s="139"/>
      <c r="YR34" s="139"/>
      <c r="YS34" s="139"/>
      <c r="YT34" s="139"/>
      <c r="YU34" s="139"/>
      <c r="YV34" s="139"/>
      <c r="YW34" s="139"/>
      <c r="YX34" s="139"/>
      <c r="YY34" s="139"/>
      <c r="YZ34" s="139"/>
      <c r="ZA34" s="139"/>
      <c r="ZB34" s="139"/>
      <c r="ZC34" s="139"/>
      <c r="ZD34" s="139"/>
      <c r="ZE34" s="139"/>
      <c r="ZF34" s="139"/>
      <c r="ZG34" s="139"/>
      <c r="ZH34" s="139"/>
      <c r="ZI34" s="139"/>
      <c r="ZJ34" s="139"/>
      <c r="ZK34" s="139"/>
      <c r="ZL34" s="139"/>
      <c r="ZM34" s="139"/>
      <c r="ZN34" s="139"/>
      <c r="ZO34" s="139"/>
      <c r="ZP34" s="139"/>
      <c r="ZQ34" s="139"/>
      <c r="ZR34" s="139"/>
      <c r="ZS34" s="139"/>
      <c r="ZT34" s="139"/>
      <c r="ZU34" s="139"/>
      <c r="ZV34" s="139"/>
      <c r="ZW34" s="139"/>
      <c r="ZX34" s="139"/>
      <c r="ZY34" s="139"/>
      <c r="ZZ34" s="139"/>
      <c r="AAA34" s="139"/>
      <c r="AAB34" s="139"/>
      <c r="AAC34" s="139"/>
      <c r="AAD34" s="139"/>
      <c r="AAE34" s="139"/>
      <c r="AAF34" s="139"/>
      <c r="AAG34" s="139"/>
      <c r="AAH34" s="139"/>
      <c r="AAI34" s="139"/>
      <c r="AAJ34" s="139"/>
      <c r="AAK34" s="139"/>
      <c r="AAL34" s="139"/>
      <c r="AAM34" s="139"/>
      <c r="AAN34" s="139"/>
      <c r="AAO34" s="139"/>
      <c r="AAP34" s="139"/>
      <c r="AAQ34" s="139"/>
      <c r="AAR34" s="139"/>
      <c r="AAS34" s="139"/>
      <c r="AAT34" s="139"/>
      <c r="AAU34" s="139"/>
      <c r="AAV34" s="139"/>
      <c r="AAW34" s="139"/>
      <c r="AAX34" s="139"/>
      <c r="AAY34" s="139"/>
      <c r="AAZ34" s="139"/>
      <c r="ABA34" s="139"/>
      <c r="ABB34" s="139"/>
      <c r="ABC34" s="139"/>
      <c r="ABD34" s="139"/>
      <c r="ABE34" s="139"/>
      <c r="ABF34" s="139"/>
      <c r="ABG34" s="139"/>
      <c r="ABH34" s="139"/>
      <c r="ABI34" s="139"/>
      <c r="ABJ34" s="139"/>
      <c r="ABK34" s="139"/>
      <c r="ABL34" s="139"/>
      <c r="ABM34" s="139"/>
      <c r="ABN34" s="139"/>
      <c r="ABO34" s="139"/>
      <c r="ABP34" s="139"/>
      <c r="ABQ34" s="139"/>
      <c r="ABR34" s="139"/>
      <c r="ABS34" s="139"/>
      <c r="ABT34" s="139"/>
      <c r="ABU34" s="139"/>
      <c r="ABV34" s="139"/>
      <c r="ABW34" s="139"/>
      <c r="ABX34" s="139"/>
      <c r="ABY34" s="139"/>
      <c r="ABZ34" s="139"/>
      <c r="ACA34" s="139"/>
      <c r="ACB34" s="139"/>
      <c r="ACC34" s="139"/>
      <c r="ACD34" s="139"/>
      <c r="ACE34" s="139"/>
      <c r="ACF34" s="139"/>
      <c r="ACG34" s="139"/>
      <c r="ACH34" s="139"/>
      <c r="ACI34" s="139"/>
      <c r="ACJ34" s="139"/>
      <c r="ACK34" s="139"/>
      <c r="ACL34" s="139"/>
      <c r="ACM34" s="139"/>
      <c r="ACN34" s="139"/>
      <c r="ACO34" s="139"/>
      <c r="ACP34" s="139"/>
      <c r="ACQ34" s="139"/>
      <c r="ACR34" s="139"/>
      <c r="ACS34" s="139"/>
      <c r="ACT34" s="139"/>
      <c r="ACU34" s="139"/>
      <c r="ACV34" s="139"/>
      <c r="ACW34" s="139"/>
      <c r="ACX34" s="139"/>
      <c r="ACY34" s="139"/>
      <c r="ACZ34" s="139"/>
      <c r="ADA34" s="139"/>
      <c r="ADB34" s="139"/>
      <c r="ADC34" s="139"/>
      <c r="ADD34" s="139"/>
      <c r="ADE34" s="139"/>
      <c r="ADF34" s="139"/>
      <c r="ADG34" s="139"/>
      <c r="ADH34" s="139"/>
      <c r="ADI34" s="139"/>
      <c r="ADJ34" s="139"/>
      <c r="ADK34" s="139"/>
      <c r="ADL34" s="139"/>
      <c r="ADM34" s="139"/>
      <c r="ADN34" s="139"/>
      <c r="ADO34" s="139"/>
      <c r="ADP34" s="139"/>
      <c r="ADQ34" s="139"/>
      <c r="ADR34" s="139"/>
      <c r="ADS34" s="139"/>
      <c r="ADT34" s="139"/>
      <c r="ADU34" s="139"/>
      <c r="ADV34" s="139"/>
      <c r="ADW34" s="139"/>
      <c r="ADX34" s="139"/>
      <c r="ADY34" s="139"/>
      <c r="ADZ34" s="139"/>
      <c r="AEA34" s="139"/>
      <c r="AEB34" s="139"/>
      <c r="AEC34" s="139"/>
      <c r="AED34" s="139"/>
      <c r="AEE34" s="139"/>
      <c r="AEF34" s="139"/>
      <c r="AEG34" s="139"/>
      <c r="AEH34" s="139"/>
      <c r="AEI34" s="139"/>
      <c r="AEJ34" s="139"/>
      <c r="AEK34" s="139"/>
      <c r="AEL34" s="139"/>
      <c r="AEM34" s="139"/>
      <c r="AEN34" s="139"/>
      <c r="AEO34" s="139"/>
      <c r="AEP34" s="139"/>
      <c r="AEQ34" s="139"/>
      <c r="AER34" s="139"/>
      <c r="AES34" s="139"/>
      <c r="AET34" s="139"/>
      <c r="AEU34" s="139"/>
      <c r="AEV34" s="139"/>
      <c r="AEW34" s="139"/>
      <c r="AEX34" s="139"/>
      <c r="AEY34" s="139"/>
      <c r="AEZ34" s="139"/>
      <c r="AFA34" s="139"/>
      <c r="AFB34" s="139"/>
      <c r="AFC34" s="139"/>
      <c r="AFD34" s="139"/>
      <c r="AFE34" s="139"/>
      <c r="AFF34" s="139"/>
      <c r="AFG34" s="139"/>
      <c r="AFH34" s="139"/>
      <c r="AFI34" s="139"/>
      <c r="AFJ34" s="139"/>
      <c r="AFK34" s="139"/>
      <c r="AFL34" s="139"/>
      <c r="AFM34" s="139"/>
      <c r="AFN34" s="139"/>
      <c r="AFO34" s="139"/>
      <c r="AFP34" s="139"/>
      <c r="AFQ34" s="139"/>
      <c r="AFR34" s="139"/>
      <c r="AFS34" s="139"/>
      <c r="AFT34" s="139"/>
      <c r="AFU34" s="139"/>
      <c r="AFV34" s="139"/>
      <c r="AFW34" s="139"/>
      <c r="AFX34" s="139"/>
      <c r="AFY34" s="139"/>
      <c r="AFZ34" s="139"/>
      <c r="AGA34" s="139"/>
      <c r="AGB34" s="139"/>
      <c r="AGC34" s="139"/>
      <c r="AGD34" s="139"/>
      <c r="AGE34" s="139"/>
      <c r="AGF34" s="139"/>
      <c r="AGG34" s="139"/>
      <c r="AGH34" s="139"/>
      <c r="AGI34" s="139"/>
      <c r="AGJ34" s="139"/>
      <c r="AGK34" s="139"/>
      <c r="AGL34" s="139"/>
      <c r="AGM34" s="139"/>
      <c r="AGN34" s="139"/>
      <c r="AGO34" s="139"/>
      <c r="AGP34" s="139"/>
      <c r="AGQ34" s="139"/>
      <c r="AGR34" s="139"/>
      <c r="AGS34" s="139"/>
      <c r="AGT34" s="139"/>
      <c r="AGU34" s="139"/>
      <c r="AGV34" s="139"/>
      <c r="AGW34" s="139"/>
      <c r="AGX34" s="139"/>
      <c r="AGY34" s="139"/>
      <c r="AGZ34" s="139"/>
      <c r="AHA34" s="139"/>
      <c r="AHB34" s="139"/>
      <c r="AHC34" s="139"/>
      <c r="AHD34" s="139"/>
      <c r="AHE34" s="139"/>
      <c r="AHF34" s="139"/>
      <c r="AHG34" s="139"/>
      <c r="AHH34" s="139"/>
      <c r="AHI34" s="139"/>
      <c r="AHJ34" s="139"/>
      <c r="AHK34" s="139"/>
      <c r="AHL34" s="139"/>
      <c r="AHM34" s="139"/>
      <c r="AHN34" s="139"/>
      <c r="AHO34" s="139"/>
      <c r="AHP34" s="139"/>
      <c r="AHQ34" s="139"/>
      <c r="AHR34" s="139"/>
      <c r="AHS34" s="139"/>
      <c r="AHT34" s="139"/>
      <c r="AHU34" s="139"/>
      <c r="AHV34" s="139"/>
      <c r="AHW34" s="139"/>
      <c r="AHX34" s="139"/>
      <c r="AHY34" s="139"/>
      <c r="AHZ34" s="139"/>
      <c r="AIA34" s="139"/>
      <c r="AIB34" s="139"/>
      <c r="AIC34" s="139"/>
      <c r="AID34" s="139"/>
      <c r="AIE34" s="139"/>
      <c r="AIF34" s="139"/>
      <c r="AIG34" s="139"/>
      <c r="AIH34" s="139"/>
      <c r="AII34" s="139"/>
      <c r="AIJ34" s="139"/>
      <c r="AIK34" s="139"/>
      <c r="AIL34" s="139"/>
      <c r="AIM34" s="139"/>
      <c r="AIN34" s="139"/>
      <c r="AIO34" s="139"/>
      <c r="AIP34" s="139"/>
      <c r="AIQ34" s="139"/>
      <c r="AIR34" s="139"/>
      <c r="AIS34" s="139"/>
      <c r="AIT34" s="139"/>
      <c r="AIU34" s="139"/>
      <c r="AIV34" s="139"/>
      <c r="AIW34" s="139"/>
      <c r="AIX34" s="139"/>
      <c r="AIY34" s="139"/>
      <c r="AIZ34" s="139"/>
      <c r="AJA34" s="139"/>
      <c r="AJB34" s="139"/>
      <c r="AJC34" s="139"/>
      <c r="AJD34" s="139"/>
      <c r="AJE34" s="139"/>
      <c r="AJF34" s="139"/>
      <c r="AJG34" s="139"/>
      <c r="AJH34" s="139"/>
      <c r="AJI34" s="139"/>
      <c r="AJJ34" s="139"/>
      <c r="AJK34" s="139"/>
      <c r="AJL34" s="139"/>
      <c r="AJM34" s="139"/>
      <c r="AJN34" s="139"/>
      <c r="AJO34" s="139"/>
      <c r="AJP34" s="139"/>
      <c r="AJQ34" s="139"/>
      <c r="AJR34" s="139"/>
      <c r="AJS34" s="139"/>
      <c r="AJT34" s="139"/>
      <c r="AJU34" s="139"/>
      <c r="AJV34" s="139"/>
      <c r="AJW34" s="139"/>
      <c r="AJX34" s="139"/>
      <c r="AJY34" s="139"/>
      <c r="AJZ34" s="139"/>
      <c r="AKA34" s="139"/>
      <c r="AKB34" s="139"/>
      <c r="AKC34" s="139"/>
      <c r="AKD34" s="139"/>
      <c r="AKE34" s="139"/>
      <c r="AKF34" s="139"/>
      <c r="AKG34" s="139"/>
      <c r="AKH34" s="139"/>
      <c r="AKI34" s="139"/>
      <c r="AKJ34" s="139"/>
      <c r="AKK34" s="139"/>
      <c r="AKL34" s="139"/>
      <c r="AKM34" s="139"/>
      <c r="AKN34" s="139"/>
      <c r="AKO34" s="139"/>
      <c r="AKP34" s="139"/>
      <c r="AKQ34" s="139"/>
      <c r="AKR34" s="139"/>
      <c r="AKS34" s="139"/>
      <c r="AKT34" s="139"/>
      <c r="AKU34" s="139"/>
      <c r="AKV34" s="139"/>
      <c r="AKW34" s="139"/>
      <c r="AKX34" s="139"/>
      <c r="AKY34" s="139"/>
      <c r="AKZ34" s="139"/>
      <c r="ALA34" s="139"/>
      <c r="ALB34" s="139"/>
      <c r="ALC34" s="139"/>
      <c r="ALD34" s="139"/>
      <c r="ALE34" s="139"/>
      <c r="ALF34" s="139"/>
      <c r="ALG34" s="139"/>
      <c r="ALH34" s="139"/>
      <c r="ALI34" s="139"/>
      <c r="ALJ34" s="139"/>
      <c r="ALK34" s="139"/>
      <c r="ALL34" s="139"/>
      <c r="ALM34" s="139"/>
      <c r="ALN34" s="139"/>
      <c r="ALO34" s="139"/>
      <c r="ALP34" s="139"/>
      <c r="ALQ34" s="139"/>
      <c r="ALR34" s="139"/>
      <c r="ALS34" s="139"/>
      <c r="ALT34" s="139"/>
      <c r="ALU34" s="139"/>
      <c r="ALV34" s="139"/>
      <c r="ALW34" s="139"/>
      <c r="ALX34" s="139"/>
      <c r="ALY34" s="139"/>
      <c r="ALZ34" s="139"/>
      <c r="AMA34" s="139"/>
      <c r="AMB34" s="139"/>
      <c r="AMC34" s="139"/>
      <c r="AMD34" s="139"/>
      <c r="AME34" s="139"/>
      <c r="AMF34" s="139"/>
      <c r="AMG34" s="139"/>
      <c r="AMH34" s="139"/>
      <c r="AMI34" s="139"/>
      <c r="AMJ34" s="139"/>
    </row>
    <row r="35" spans="1:1024" s="140" customFormat="1" x14ac:dyDescent="0.25">
      <c r="A35" s="208" t="s">
        <v>25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39"/>
      <c r="EL35" s="139"/>
      <c r="EM35" s="139"/>
      <c r="EN35" s="139"/>
      <c r="EO35" s="139"/>
      <c r="EP35" s="139"/>
      <c r="EQ35" s="139"/>
      <c r="ER35" s="139"/>
      <c r="ES35" s="139"/>
      <c r="ET35" s="139"/>
      <c r="EU35" s="139"/>
      <c r="EV35" s="139"/>
      <c r="EW35" s="139"/>
      <c r="EX35" s="139"/>
      <c r="EY35" s="139"/>
      <c r="EZ35" s="139"/>
      <c r="FA35" s="139"/>
      <c r="FB35" s="139"/>
      <c r="FC35" s="139"/>
      <c r="FD35" s="139"/>
      <c r="FE35" s="139"/>
      <c r="FF35" s="139"/>
      <c r="FG35" s="139"/>
      <c r="FH35" s="139"/>
      <c r="FI35" s="139"/>
      <c r="FJ35" s="139"/>
      <c r="FK35" s="139"/>
      <c r="FL35" s="139"/>
      <c r="FM35" s="139"/>
      <c r="FN35" s="139"/>
      <c r="FO35" s="139"/>
      <c r="FP35" s="139"/>
      <c r="FQ35" s="139"/>
      <c r="FR35" s="139"/>
      <c r="FS35" s="139"/>
      <c r="FT35" s="139"/>
      <c r="FU35" s="139"/>
      <c r="FV35" s="139"/>
      <c r="FW35" s="139"/>
      <c r="FX35" s="139"/>
      <c r="FY35" s="139"/>
      <c r="FZ35" s="139"/>
      <c r="GA35" s="139"/>
      <c r="GB35" s="139"/>
      <c r="GC35" s="139"/>
      <c r="GD35" s="139"/>
      <c r="GE35" s="139"/>
      <c r="GF35" s="139"/>
      <c r="GG35" s="139"/>
      <c r="GH35" s="139"/>
      <c r="GI35" s="139"/>
      <c r="GJ35" s="139"/>
      <c r="GK35" s="139"/>
      <c r="GL35" s="139"/>
      <c r="GM35" s="139"/>
      <c r="GN35" s="139"/>
      <c r="GO35" s="139"/>
      <c r="GP35" s="139"/>
      <c r="GQ35" s="139"/>
      <c r="GR35" s="139"/>
      <c r="GS35" s="139"/>
      <c r="GT35" s="139"/>
      <c r="GU35" s="139"/>
      <c r="GV35" s="139"/>
      <c r="GW35" s="139"/>
      <c r="GX35" s="139"/>
      <c r="GY35" s="139"/>
      <c r="GZ35" s="139"/>
      <c r="HA35" s="139"/>
      <c r="HB35" s="139"/>
      <c r="HC35" s="139"/>
      <c r="HD35" s="139"/>
      <c r="HE35" s="139"/>
      <c r="HF35" s="139"/>
      <c r="HG35" s="139"/>
      <c r="HH35" s="139"/>
      <c r="HI35" s="139"/>
      <c r="HJ35" s="139"/>
      <c r="HK35" s="139"/>
      <c r="HL35" s="139"/>
      <c r="HM35" s="139"/>
      <c r="HN35" s="139"/>
      <c r="HO35" s="139"/>
      <c r="HP35" s="139"/>
      <c r="HQ35" s="139"/>
      <c r="HR35" s="139"/>
      <c r="HS35" s="139"/>
      <c r="HT35" s="139"/>
      <c r="HU35" s="139"/>
      <c r="HV35" s="139"/>
      <c r="HW35" s="139"/>
      <c r="HX35" s="139"/>
      <c r="HY35" s="139"/>
      <c r="HZ35" s="139"/>
      <c r="IA35" s="139"/>
      <c r="IB35" s="139"/>
      <c r="IC35" s="139"/>
      <c r="ID35" s="139"/>
      <c r="IE35" s="139"/>
      <c r="IF35" s="139"/>
      <c r="IG35" s="139"/>
      <c r="IH35" s="139"/>
      <c r="II35" s="139"/>
      <c r="IJ35" s="139"/>
      <c r="IK35" s="139"/>
      <c r="IL35" s="139"/>
      <c r="IM35" s="139"/>
      <c r="IN35" s="139"/>
      <c r="IO35" s="139"/>
      <c r="IP35" s="139"/>
      <c r="IQ35" s="139"/>
      <c r="IR35" s="139"/>
      <c r="IS35" s="139"/>
      <c r="IT35" s="139"/>
      <c r="IU35" s="139"/>
      <c r="IV35" s="139"/>
      <c r="IW35" s="139"/>
      <c r="IX35" s="139"/>
      <c r="IY35" s="139"/>
      <c r="IZ35" s="139"/>
      <c r="JA35" s="139"/>
      <c r="JB35" s="139"/>
      <c r="JC35" s="139"/>
      <c r="JD35" s="139"/>
      <c r="JE35" s="139"/>
      <c r="JF35" s="139"/>
      <c r="JG35" s="139"/>
      <c r="JH35" s="139"/>
      <c r="JI35" s="139"/>
      <c r="JJ35" s="139"/>
      <c r="JK35" s="139"/>
      <c r="JL35" s="139"/>
      <c r="JM35" s="139"/>
      <c r="JN35" s="139"/>
      <c r="JO35" s="139"/>
      <c r="JP35" s="139"/>
      <c r="JQ35" s="139"/>
      <c r="JR35" s="139"/>
      <c r="JS35" s="139"/>
      <c r="JT35" s="139"/>
      <c r="JU35" s="139"/>
      <c r="JV35" s="139"/>
      <c r="JW35" s="139"/>
      <c r="JX35" s="139"/>
      <c r="JY35" s="139"/>
      <c r="JZ35" s="139"/>
      <c r="KA35" s="139"/>
      <c r="KB35" s="139"/>
      <c r="KC35" s="139"/>
      <c r="KD35" s="139"/>
      <c r="KE35" s="139"/>
      <c r="KF35" s="139"/>
      <c r="KG35" s="139"/>
      <c r="KH35" s="139"/>
      <c r="KI35" s="139"/>
      <c r="KJ35" s="139"/>
      <c r="KK35" s="139"/>
      <c r="KL35" s="139"/>
      <c r="KM35" s="139"/>
      <c r="KN35" s="139"/>
      <c r="KO35" s="139"/>
      <c r="KP35" s="139"/>
      <c r="KQ35" s="139"/>
      <c r="KR35" s="139"/>
      <c r="KS35" s="139"/>
      <c r="KT35" s="139"/>
      <c r="KU35" s="139"/>
      <c r="KV35" s="139"/>
      <c r="KW35" s="139"/>
      <c r="KX35" s="139"/>
      <c r="KY35" s="139"/>
      <c r="KZ35" s="139"/>
      <c r="LA35" s="139"/>
      <c r="LB35" s="139"/>
      <c r="LC35" s="139"/>
      <c r="LD35" s="139"/>
      <c r="LE35" s="139"/>
      <c r="LF35" s="139"/>
      <c r="LG35" s="139"/>
      <c r="LH35" s="139"/>
      <c r="LI35" s="139"/>
      <c r="LJ35" s="139"/>
      <c r="LK35" s="139"/>
      <c r="LL35" s="139"/>
      <c r="LM35" s="139"/>
      <c r="LN35" s="139"/>
      <c r="LO35" s="139"/>
      <c r="LP35" s="139"/>
      <c r="LQ35" s="139"/>
      <c r="LR35" s="139"/>
      <c r="LS35" s="139"/>
      <c r="LT35" s="139"/>
      <c r="LU35" s="139"/>
      <c r="LV35" s="139"/>
      <c r="LW35" s="139"/>
      <c r="LX35" s="139"/>
      <c r="LY35" s="139"/>
      <c r="LZ35" s="139"/>
      <c r="MA35" s="139"/>
      <c r="MB35" s="139"/>
      <c r="MC35" s="139"/>
      <c r="MD35" s="139"/>
      <c r="ME35" s="139"/>
      <c r="MF35" s="139"/>
      <c r="MG35" s="139"/>
      <c r="MH35" s="139"/>
      <c r="MI35" s="139"/>
      <c r="MJ35" s="139"/>
      <c r="MK35" s="139"/>
      <c r="ML35" s="139"/>
      <c r="MM35" s="139"/>
      <c r="MN35" s="139"/>
      <c r="MO35" s="139"/>
      <c r="MP35" s="139"/>
      <c r="MQ35" s="139"/>
      <c r="MR35" s="139"/>
      <c r="MS35" s="139"/>
      <c r="MT35" s="139"/>
      <c r="MU35" s="139"/>
      <c r="MV35" s="139"/>
      <c r="MW35" s="139"/>
      <c r="MX35" s="139"/>
      <c r="MY35" s="139"/>
      <c r="MZ35" s="139"/>
      <c r="NA35" s="139"/>
      <c r="NB35" s="139"/>
      <c r="NC35" s="139"/>
      <c r="ND35" s="139"/>
      <c r="NE35" s="139"/>
      <c r="NF35" s="139"/>
      <c r="NG35" s="139"/>
      <c r="NH35" s="139"/>
      <c r="NI35" s="139"/>
      <c r="NJ35" s="139"/>
      <c r="NK35" s="139"/>
      <c r="NL35" s="139"/>
      <c r="NM35" s="139"/>
      <c r="NN35" s="139"/>
      <c r="NO35" s="139"/>
      <c r="NP35" s="139"/>
      <c r="NQ35" s="139"/>
      <c r="NR35" s="139"/>
      <c r="NS35" s="139"/>
      <c r="NT35" s="139"/>
      <c r="NU35" s="139"/>
      <c r="NV35" s="139"/>
      <c r="NW35" s="139"/>
      <c r="NX35" s="139"/>
      <c r="NY35" s="139"/>
      <c r="NZ35" s="139"/>
      <c r="OA35" s="139"/>
      <c r="OB35" s="139"/>
      <c r="OC35" s="139"/>
      <c r="OD35" s="139"/>
      <c r="OE35" s="139"/>
      <c r="OF35" s="139"/>
      <c r="OG35" s="139"/>
      <c r="OH35" s="139"/>
      <c r="OI35" s="139"/>
      <c r="OJ35" s="139"/>
      <c r="OK35" s="139"/>
      <c r="OL35" s="139"/>
      <c r="OM35" s="139"/>
      <c r="ON35" s="139"/>
      <c r="OO35" s="139"/>
      <c r="OP35" s="139"/>
      <c r="OQ35" s="139"/>
      <c r="OR35" s="139"/>
      <c r="OS35" s="139"/>
      <c r="OT35" s="139"/>
      <c r="OU35" s="139"/>
      <c r="OV35" s="139"/>
      <c r="OW35" s="139"/>
      <c r="OX35" s="139"/>
      <c r="OY35" s="139"/>
      <c r="OZ35" s="139"/>
      <c r="PA35" s="139"/>
      <c r="PB35" s="139"/>
      <c r="PC35" s="139"/>
      <c r="PD35" s="139"/>
      <c r="PE35" s="139"/>
      <c r="PF35" s="139"/>
      <c r="PG35" s="139"/>
      <c r="PH35" s="139"/>
      <c r="PI35" s="139"/>
      <c r="PJ35" s="139"/>
      <c r="PK35" s="139"/>
      <c r="PL35" s="139"/>
      <c r="PM35" s="139"/>
      <c r="PN35" s="139"/>
      <c r="PO35" s="139"/>
      <c r="PP35" s="139"/>
      <c r="PQ35" s="139"/>
      <c r="PR35" s="139"/>
      <c r="PS35" s="139"/>
      <c r="PT35" s="139"/>
      <c r="PU35" s="139"/>
      <c r="PV35" s="139"/>
      <c r="PW35" s="139"/>
      <c r="PX35" s="139"/>
      <c r="PY35" s="139"/>
      <c r="PZ35" s="139"/>
      <c r="QA35" s="139"/>
      <c r="QB35" s="139"/>
      <c r="QC35" s="139"/>
      <c r="QD35" s="139"/>
      <c r="QE35" s="139"/>
      <c r="QF35" s="139"/>
      <c r="QG35" s="139"/>
      <c r="QH35" s="139"/>
      <c r="QI35" s="139"/>
      <c r="QJ35" s="139"/>
      <c r="QK35" s="139"/>
      <c r="QL35" s="139"/>
      <c r="QM35" s="139"/>
      <c r="QN35" s="139"/>
      <c r="QO35" s="139"/>
      <c r="QP35" s="139"/>
      <c r="QQ35" s="139"/>
      <c r="QR35" s="139"/>
      <c r="QS35" s="139"/>
      <c r="QT35" s="139"/>
      <c r="QU35" s="139"/>
      <c r="QV35" s="139"/>
      <c r="QW35" s="139"/>
      <c r="QX35" s="139"/>
      <c r="QY35" s="139"/>
      <c r="QZ35" s="139"/>
      <c r="RA35" s="139"/>
      <c r="RB35" s="139"/>
      <c r="RC35" s="139"/>
      <c r="RD35" s="139"/>
      <c r="RE35" s="139"/>
      <c r="RF35" s="139"/>
      <c r="RG35" s="139"/>
      <c r="RH35" s="139"/>
      <c r="RI35" s="139"/>
      <c r="RJ35" s="139"/>
      <c r="RK35" s="139"/>
      <c r="RL35" s="139"/>
      <c r="RM35" s="139"/>
      <c r="RN35" s="139"/>
      <c r="RO35" s="139"/>
      <c r="RP35" s="139"/>
      <c r="RQ35" s="139"/>
      <c r="RR35" s="139"/>
      <c r="RS35" s="139"/>
      <c r="RT35" s="139"/>
      <c r="RU35" s="139"/>
      <c r="RV35" s="139"/>
      <c r="RW35" s="139"/>
      <c r="RX35" s="139"/>
      <c r="RY35" s="139"/>
      <c r="RZ35" s="139"/>
      <c r="SA35" s="139"/>
      <c r="SB35" s="139"/>
      <c r="SC35" s="139"/>
      <c r="SD35" s="139"/>
      <c r="SE35" s="139"/>
      <c r="SF35" s="139"/>
      <c r="SG35" s="139"/>
      <c r="SH35" s="139"/>
      <c r="SI35" s="139"/>
      <c r="SJ35" s="139"/>
      <c r="SK35" s="139"/>
      <c r="SL35" s="139"/>
      <c r="SM35" s="139"/>
      <c r="SN35" s="139"/>
      <c r="SO35" s="139"/>
      <c r="SP35" s="139"/>
      <c r="SQ35" s="139"/>
      <c r="SR35" s="139"/>
      <c r="SS35" s="139"/>
      <c r="ST35" s="139"/>
      <c r="SU35" s="139"/>
      <c r="SV35" s="139"/>
      <c r="SW35" s="139"/>
      <c r="SX35" s="139"/>
      <c r="SY35" s="139"/>
      <c r="SZ35" s="139"/>
      <c r="TA35" s="139"/>
      <c r="TB35" s="139"/>
      <c r="TC35" s="139"/>
      <c r="TD35" s="139"/>
      <c r="TE35" s="139"/>
      <c r="TF35" s="139"/>
      <c r="TG35" s="139"/>
      <c r="TH35" s="139"/>
      <c r="TI35" s="139"/>
      <c r="TJ35" s="139"/>
      <c r="TK35" s="139"/>
      <c r="TL35" s="139"/>
      <c r="TM35" s="139"/>
      <c r="TN35" s="139"/>
      <c r="TO35" s="139"/>
      <c r="TP35" s="139"/>
      <c r="TQ35" s="139"/>
      <c r="TR35" s="139"/>
      <c r="TS35" s="139"/>
      <c r="TT35" s="139"/>
      <c r="TU35" s="139"/>
      <c r="TV35" s="139"/>
      <c r="TW35" s="139"/>
      <c r="TX35" s="139"/>
      <c r="TY35" s="139"/>
      <c r="TZ35" s="139"/>
      <c r="UA35" s="139"/>
      <c r="UB35" s="139"/>
      <c r="UC35" s="139"/>
      <c r="UD35" s="139"/>
      <c r="UE35" s="139"/>
      <c r="UF35" s="139"/>
      <c r="UG35" s="139"/>
      <c r="UH35" s="139"/>
      <c r="UI35" s="139"/>
      <c r="UJ35" s="139"/>
      <c r="UK35" s="139"/>
      <c r="UL35" s="139"/>
      <c r="UM35" s="139"/>
      <c r="UN35" s="139"/>
      <c r="UO35" s="139"/>
      <c r="UP35" s="139"/>
      <c r="UQ35" s="139"/>
      <c r="UR35" s="139"/>
      <c r="US35" s="139"/>
      <c r="UT35" s="139"/>
      <c r="UU35" s="139"/>
      <c r="UV35" s="139"/>
      <c r="UW35" s="139"/>
      <c r="UX35" s="139"/>
      <c r="UY35" s="139"/>
      <c r="UZ35" s="139"/>
      <c r="VA35" s="139"/>
      <c r="VB35" s="139"/>
      <c r="VC35" s="139"/>
      <c r="VD35" s="139"/>
      <c r="VE35" s="139"/>
      <c r="VF35" s="139"/>
      <c r="VG35" s="139"/>
      <c r="VH35" s="139"/>
      <c r="VI35" s="139"/>
      <c r="VJ35" s="139"/>
      <c r="VK35" s="139"/>
      <c r="VL35" s="139"/>
      <c r="VM35" s="139"/>
      <c r="VN35" s="139"/>
      <c r="VO35" s="139"/>
      <c r="VP35" s="139"/>
      <c r="VQ35" s="139"/>
      <c r="VR35" s="139"/>
      <c r="VS35" s="139"/>
      <c r="VT35" s="139"/>
      <c r="VU35" s="139"/>
      <c r="VV35" s="139"/>
      <c r="VW35" s="139"/>
      <c r="VX35" s="139"/>
      <c r="VY35" s="139"/>
      <c r="VZ35" s="139"/>
      <c r="WA35" s="139"/>
      <c r="WB35" s="139"/>
      <c r="WC35" s="139"/>
      <c r="WD35" s="139"/>
      <c r="WE35" s="139"/>
      <c r="WF35" s="139"/>
      <c r="WG35" s="139"/>
      <c r="WH35" s="139"/>
      <c r="WI35" s="139"/>
      <c r="WJ35" s="139"/>
      <c r="WK35" s="139"/>
      <c r="WL35" s="139"/>
      <c r="WM35" s="139"/>
      <c r="WN35" s="139"/>
      <c r="WO35" s="139"/>
      <c r="WP35" s="139"/>
      <c r="WQ35" s="139"/>
      <c r="WR35" s="139"/>
      <c r="WS35" s="139"/>
      <c r="WT35" s="139"/>
      <c r="WU35" s="139"/>
      <c r="WV35" s="139"/>
      <c r="WW35" s="139"/>
      <c r="WX35" s="139"/>
      <c r="WY35" s="139"/>
      <c r="WZ35" s="139"/>
      <c r="XA35" s="139"/>
      <c r="XB35" s="139"/>
      <c r="XC35" s="139"/>
      <c r="XD35" s="139"/>
      <c r="XE35" s="139"/>
      <c r="XF35" s="139"/>
      <c r="XG35" s="139"/>
      <c r="XH35" s="139"/>
      <c r="XI35" s="139"/>
      <c r="XJ35" s="139"/>
      <c r="XK35" s="139"/>
      <c r="XL35" s="139"/>
      <c r="XM35" s="139"/>
      <c r="XN35" s="139"/>
      <c r="XO35" s="139"/>
      <c r="XP35" s="139"/>
      <c r="XQ35" s="139"/>
      <c r="XR35" s="139"/>
      <c r="XS35" s="139"/>
      <c r="XT35" s="139"/>
      <c r="XU35" s="139"/>
      <c r="XV35" s="139"/>
      <c r="XW35" s="139"/>
      <c r="XX35" s="139"/>
      <c r="XY35" s="139"/>
      <c r="XZ35" s="139"/>
      <c r="YA35" s="139"/>
      <c r="YB35" s="139"/>
      <c r="YC35" s="139"/>
      <c r="YD35" s="139"/>
      <c r="YE35" s="139"/>
      <c r="YF35" s="139"/>
      <c r="YG35" s="139"/>
      <c r="YH35" s="139"/>
      <c r="YI35" s="139"/>
      <c r="YJ35" s="139"/>
      <c r="YK35" s="139"/>
      <c r="YL35" s="139"/>
      <c r="YM35" s="139"/>
      <c r="YN35" s="139"/>
      <c r="YO35" s="139"/>
      <c r="YP35" s="139"/>
      <c r="YQ35" s="139"/>
      <c r="YR35" s="139"/>
      <c r="YS35" s="139"/>
      <c r="YT35" s="139"/>
      <c r="YU35" s="139"/>
      <c r="YV35" s="139"/>
      <c r="YW35" s="139"/>
      <c r="YX35" s="139"/>
      <c r="YY35" s="139"/>
      <c r="YZ35" s="139"/>
      <c r="ZA35" s="139"/>
      <c r="ZB35" s="139"/>
      <c r="ZC35" s="139"/>
      <c r="ZD35" s="139"/>
      <c r="ZE35" s="139"/>
      <c r="ZF35" s="139"/>
      <c r="ZG35" s="139"/>
      <c r="ZH35" s="139"/>
      <c r="ZI35" s="139"/>
      <c r="ZJ35" s="139"/>
      <c r="ZK35" s="139"/>
      <c r="ZL35" s="139"/>
      <c r="ZM35" s="139"/>
      <c r="ZN35" s="139"/>
      <c r="ZO35" s="139"/>
      <c r="ZP35" s="139"/>
      <c r="ZQ35" s="139"/>
      <c r="ZR35" s="139"/>
      <c r="ZS35" s="139"/>
      <c r="ZT35" s="139"/>
      <c r="ZU35" s="139"/>
      <c r="ZV35" s="139"/>
      <c r="ZW35" s="139"/>
      <c r="ZX35" s="139"/>
      <c r="ZY35" s="139"/>
      <c r="ZZ35" s="139"/>
      <c r="AAA35" s="139"/>
      <c r="AAB35" s="139"/>
      <c r="AAC35" s="139"/>
      <c r="AAD35" s="139"/>
      <c r="AAE35" s="139"/>
      <c r="AAF35" s="139"/>
      <c r="AAG35" s="139"/>
      <c r="AAH35" s="139"/>
      <c r="AAI35" s="139"/>
      <c r="AAJ35" s="139"/>
      <c r="AAK35" s="139"/>
      <c r="AAL35" s="139"/>
      <c r="AAM35" s="139"/>
      <c r="AAN35" s="139"/>
      <c r="AAO35" s="139"/>
      <c r="AAP35" s="139"/>
      <c r="AAQ35" s="139"/>
      <c r="AAR35" s="139"/>
      <c r="AAS35" s="139"/>
      <c r="AAT35" s="139"/>
      <c r="AAU35" s="139"/>
      <c r="AAV35" s="139"/>
      <c r="AAW35" s="139"/>
      <c r="AAX35" s="139"/>
      <c r="AAY35" s="139"/>
      <c r="AAZ35" s="139"/>
      <c r="ABA35" s="139"/>
      <c r="ABB35" s="139"/>
      <c r="ABC35" s="139"/>
      <c r="ABD35" s="139"/>
      <c r="ABE35" s="139"/>
      <c r="ABF35" s="139"/>
      <c r="ABG35" s="139"/>
      <c r="ABH35" s="139"/>
      <c r="ABI35" s="139"/>
      <c r="ABJ35" s="139"/>
      <c r="ABK35" s="139"/>
      <c r="ABL35" s="139"/>
      <c r="ABM35" s="139"/>
      <c r="ABN35" s="139"/>
      <c r="ABO35" s="139"/>
      <c r="ABP35" s="139"/>
      <c r="ABQ35" s="139"/>
      <c r="ABR35" s="139"/>
      <c r="ABS35" s="139"/>
      <c r="ABT35" s="139"/>
      <c r="ABU35" s="139"/>
      <c r="ABV35" s="139"/>
      <c r="ABW35" s="139"/>
      <c r="ABX35" s="139"/>
      <c r="ABY35" s="139"/>
      <c r="ABZ35" s="139"/>
      <c r="ACA35" s="139"/>
      <c r="ACB35" s="139"/>
      <c r="ACC35" s="139"/>
      <c r="ACD35" s="139"/>
      <c r="ACE35" s="139"/>
      <c r="ACF35" s="139"/>
      <c r="ACG35" s="139"/>
      <c r="ACH35" s="139"/>
      <c r="ACI35" s="139"/>
      <c r="ACJ35" s="139"/>
      <c r="ACK35" s="139"/>
      <c r="ACL35" s="139"/>
      <c r="ACM35" s="139"/>
      <c r="ACN35" s="139"/>
      <c r="ACO35" s="139"/>
      <c r="ACP35" s="139"/>
      <c r="ACQ35" s="139"/>
      <c r="ACR35" s="139"/>
      <c r="ACS35" s="139"/>
      <c r="ACT35" s="139"/>
      <c r="ACU35" s="139"/>
      <c r="ACV35" s="139"/>
      <c r="ACW35" s="139"/>
      <c r="ACX35" s="139"/>
      <c r="ACY35" s="139"/>
      <c r="ACZ35" s="139"/>
      <c r="ADA35" s="139"/>
      <c r="ADB35" s="139"/>
      <c r="ADC35" s="139"/>
      <c r="ADD35" s="139"/>
      <c r="ADE35" s="139"/>
      <c r="ADF35" s="139"/>
      <c r="ADG35" s="139"/>
      <c r="ADH35" s="139"/>
      <c r="ADI35" s="139"/>
      <c r="ADJ35" s="139"/>
      <c r="ADK35" s="139"/>
      <c r="ADL35" s="139"/>
      <c r="ADM35" s="139"/>
      <c r="ADN35" s="139"/>
      <c r="ADO35" s="139"/>
      <c r="ADP35" s="139"/>
      <c r="ADQ35" s="139"/>
      <c r="ADR35" s="139"/>
      <c r="ADS35" s="139"/>
      <c r="ADT35" s="139"/>
      <c r="ADU35" s="139"/>
      <c r="ADV35" s="139"/>
      <c r="ADW35" s="139"/>
      <c r="ADX35" s="139"/>
      <c r="ADY35" s="139"/>
      <c r="ADZ35" s="139"/>
      <c r="AEA35" s="139"/>
      <c r="AEB35" s="139"/>
      <c r="AEC35" s="139"/>
      <c r="AED35" s="139"/>
      <c r="AEE35" s="139"/>
      <c r="AEF35" s="139"/>
      <c r="AEG35" s="139"/>
      <c r="AEH35" s="139"/>
      <c r="AEI35" s="139"/>
      <c r="AEJ35" s="139"/>
      <c r="AEK35" s="139"/>
      <c r="AEL35" s="139"/>
      <c r="AEM35" s="139"/>
      <c r="AEN35" s="139"/>
      <c r="AEO35" s="139"/>
      <c r="AEP35" s="139"/>
      <c r="AEQ35" s="139"/>
      <c r="AER35" s="139"/>
      <c r="AES35" s="139"/>
      <c r="AET35" s="139"/>
      <c r="AEU35" s="139"/>
      <c r="AEV35" s="139"/>
      <c r="AEW35" s="139"/>
      <c r="AEX35" s="139"/>
      <c r="AEY35" s="139"/>
      <c r="AEZ35" s="139"/>
      <c r="AFA35" s="139"/>
      <c r="AFB35" s="139"/>
      <c r="AFC35" s="139"/>
      <c r="AFD35" s="139"/>
      <c r="AFE35" s="139"/>
      <c r="AFF35" s="139"/>
      <c r="AFG35" s="139"/>
      <c r="AFH35" s="139"/>
      <c r="AFI35" s="139"/>
      <c r="AFJ35" s="139"/>
      <c r="AFK35" s="139"/>
      <c r="AFL35" s="139"/>
      <c r="AFM35" s="139"/>
      <c r="AFN35" s="139"/>
      <c r="AFO35" s="139"/>
      <c r="AFP35" s="139"/>
      <c r="AFQ35" s="139"/>
      <c r="AFR35" s="139"/>
      <c r="AFS35" s="139"/>
      <c r="AFT35" s="139"/>
      <c r="AFU35" s="139"/>
      <c r="AFV35" s="139"/>
      <c r="AFW35" s="139"/>
      <c r="AFX35" s="139"/>
      <c r="AFY35" s="139"/>
      <c r="AFZ35" s="139"/>
      <c r="AGA35" s="139"/>
      <c r="AGB35" s="139"/>
      <c r="AGC35" s="139"/>
      <c r="AGD35" s="139"/>
      <c r="AGE35" s="139"/>
      <c r="AGF35" s="139"/>
      <c r="AGG35" s="139"/>
      <c r="AGH35" s="139"/>
      <c r="AGI35" s="139"/>
      <c r="AGJ35" s="139"/>
      <c r="AGK35" s="139"/>
      <c r="AGL35" s="139"/>
      <c r="AGM35" s="139"/>
      <c r="AGN35" s="139"/>
      <c r="AGO35" s="139"/>
      <c r="AGP35" s="139"/>
      <c r="AGQ35" s="139"/>
      <c r="AGR35" s="139"/>
      <c r="AGS35" s="139"/>
      <c r="AGT35" s="139"/>
      <c r="AGU35" s="139"/>
      <c r="AGV35" s="139"/>
      <c r="AGW35" s="139"/>
      <c r="AGX35" s="139"/>
      <c r="AGY35" s="139"/>
      <c r="AGZ35" s="139"/>
      <c r="AHA35" s="139"/>
      <c r="AHB35" s="139"/>
      <c r="AHC35" s="139"/>
      <c r="AHD35" s="139"/>
      <c r="AHE35" s="139"/>
      <c r="AHF35" s="139"/>
      <c r="AHG35" s="139"/>
      <c r="AHH35" s="139"/>
      <c r="AHI35" s="139"/>
      <c r="AHJ35" s="139"/>
      <c r="AHK35" s="139"/>
      <c r="AHL35" s="139"/>
      <c r="AHM35" s="139"/>
      <c r="AHN35" s="139"/>
      <c r="AHO35" s="139"/>
      <c r="AHP35" s="139"/>
      <c r="AHQ35" s="139"/>
      <c r="AHR35" s="139"/>
      <c r="AHS35" s="139"/>
      <c r="AHT35" s="139"/>
      <c r="AHU35" s="139"/>
      <c r="AHV35" s="139"/>
      <c r="AHW35" s="139"/>
      <c r="AHX35" s="139"/>
      <c r="AHY35" s="139"/>
      <c r="AHZ35" s="139"/>
      <c r="AIA35" s="139"/>
      <c r="AIB35" s="139"/>
      <c r="AIC35" s="139"/>
      <c r="AID35" s="139"/>
      <c r="AIE35" s="139"/>
      <c r="AIF35" s="139"/>
      <c r="AIG35" s="139"/>
      <c r="AIH35" s="139"/>
      <c r="AII35" s="139"/>
      <c r="AIJ35" s="139"/>
      <c r="AIK35" s="139"/>
      <c r="AIL35" s="139"/>
      <c r="AIM35" s="139"/>
      <c r="AIN35" s="139"/>
      <c r="AIO35" s="139"/>
      <c r="AIP35" s="139"/>
      <c r="AIQ35" s="139"/>
      <c r="AIR35" s="139"/>
      <c r="AIS35" s="139"/>
      <c r="AIT35" s="139"/>
      <c r="AIU35" s="139"/>
      <c r="AIV35" s="139"/>
      <c r="AIW35" s="139"/>
      <c r="AIX35" s="139"/>
      <c r="AIY35" s="139"/>
      <c r="AIZ35" s="139"/>
      <c r="AJA35" s="139"/>
      <c r="AJB35" s="139"/>
      <c r="AJC35" s="139"/>
      <c r="AJD35" s="139"/>
      <c r="AJE35" s="139"/>
      <c r="AJF35" s="139"/>
      <c r="AJG35" s="139"/>
      <c r="AJH35" s="139"/>
      <c r="AJI35" s="139"/>
      <c r="AJJ35" s="139"/>
      <c r="AJK35" s="139"/>
      <c r="AJL35" s="139"/>
      <c r="AJM35" s="139"/>
      <c r="AJN35" s="139"/>
      <c r="AJO35" s="139"/>
      <c r="AJP35" s="139"/>
      <c r="AJQ35" s="139"/>
      <c r="AJR35" s="139"/>
      <c r="AJS35" s="139"/>
      <c r="AJT35" s="139"/>
      <c r="AJU35" s="139"/>
      <c r="AJV35" s="139"/>
      <c r="AJW35" s="139"/>
      <c r="AJX35" s="139"/>
      <c r="AJY35" s="139"/>
      <c r="AJZ35" s="139"/>
      <c r="AKA35" s="139"/>
      <c r="AKB35" s="139"/>
      <c r="AKC35" s="139"/>
      <c r="AKD35" s="139"/>
      <c r="AKE35" s="139"/>
      <c r="AKF35" s="139"/>
      <c r="AKG35" s="139"/>
      <c r="AKH35" s="139"/>
      <c r="AKI35" s="139"/>
      <c r="AKJ35" s="139"/>
      <c r="AKK35" s="139"/>
      <c r="AKL35" s="139"/>
      <c r="AKM35" s="139"/>
      <c r="AKN35" s="139"/>
      <c r="AKO35" s="139"/>
      <c r="AKP35" s="139"/>
      <c r="AKQ35" s="139"/>
      <c r="AKR35" s="139"/>
      <c r="AKS35" s="139"/>
      <c r="AKT35" s="139"/>
      <c r="AKU35" s="139"/>
      <c r="AKV35" s="139"/>
      <c r="AKW35" s="139"/>
      <c r="AKX35" s="139"/>
      <c r="AKY35" s="139"/>
      <c r="AKZ35" s="139"/>
      <c r="ALA35" s="139"/>
      <c r="ALB35" s="139"/>
      <c r="ALC35" s="139"/>
      <c r="ALD35" s="139"/>
      <c r="ALE35" s="139"/>
      <c r="ALF35" s="139"/>
      <c r="ALG35" s="139"/>
      <c r="ALH35" s="139"/>
      <c r="ALI35" s="139"/>
      <c r="ALJ35" s="139"/>
      <c r="ALK35" s="139"/>
      <c r="ALL35" s="139"/>
      <c r="ALM35" s="139"/>
      <c r="ALN35" s="139"/>
      <c r="ALO35" s="139"/>
      <c r="ALP35" s="139"/>
      <c r="ALQ35" s="139"/>
      <c r="ALR35" s="139"/>
      <c r="ALS35" s="139"/>
      <c r="ALT35" s="139"/>
      <c r="ALU35" s="139"/>
      <c r="ALV35" s="139"/>
      <c r="ALW35" s="139"/>
      <c r="ALX35" s="139"/>
      <c r="ALY35" s="139"/>
      <c r="ALZ35" s="139"/>
      <c r="AMA35" s="139"/>
      <c r="AMB35" s="139"/>
      <c r="AMC35" s="139"/>
      <c r="AMD35" s="139"/>
      <c r="AME35" s="139"/>
      <c r="AMF35" s="139"/>
      <c r="AMG35" s="139"/>
      <c r="AMH35" s="139"/>
      <c r="AMI35" s="139"/>
      <c r="AMJ35" s="139"/>
    </row>
    <row r="36" spans="1:1024" s="140" customFormat="1" x14ac:dyDescent="0.25">
      <c r="A36" s="183" t="s">
        <v>26</v>
      </c>
      <c r="B36" s="184">
        <v>1</v>
      </c>
      <c r="C36" s="184">
        <v>2</v>
      </c>
      <c r="D36" s="184">
        <v>3</v>
      </c>
      <c r="E36" s="184">
        <v>4</v>
      </c>
      <c r="F36" s="184">
        <v>5</v>
      </c>
      <c r="G36" s="184">
        <v>6</v>
      </c>
      <c r="H36" s="184">
        <v>7</v>
      </c>
      <c r="I36" s="184">
        <v>8</v>
      </c>
      <c r="J36" s="184">
        <v>9</v>
      </c>
      <c r="K36" s="184">
        <v>10</v>
      </c>
      <c r="L36" s="184">
        <v>11</v>
      </c>
      <c r="M36" s="184">
        <v>12</v>
      </c>
      <c r="N36" s="184">
        <v>13</v>
      </c>
      <c r="O36" s="184">
        <v>14</v>
      </c>
      <c r="P36" s="184">
        <v>15</v>
      </c>
      <c r="Q36" s="184">
        <v>16</v>
      </c>
      <c r="R36" s="184">
        <v>17</v>
      </c>
      <c r="S36" s="184">
        <v>18</v>
      </c>
      <c r="T36" s="184">
        <v>19</v>
      </c>
      <c r="U36" s="184">
        <v>20</v>
      </c>
      <c r="V36" s="184">
        <v>21</v>
      </c>
      <c r="W36" s="184">
        <v>22</v>
      </c>
      <c r="X36" s="184">
        <v>23</v>
      </c>
      <c r="Y36" s="184">
        <v>24</v>
      </c>
      <c r="Z36" s="184">
        <v>25</v>
      </c>
      <c r="AA36" s="184">
        <v>26</v>
      </c>
      <c r="AB36" s="184">
        <v>27</v>
      </c>
      <c r="AC36" s="184">
        <v>28</v>
      </c>
      <c r="AD36" s="184">
        <v>29</v>
      </c>
      <c r="AE36" s="184">
        <v>30</v>
      </c>
      <c r="AF36" s="184">
        <v>31</v>
      </c>
      <c r="AG36" s="184">
        <v>32</v>
      </c>
      <c r="AH36" s="184">
        <v>33</v>
      </c>
      <c r="AI36" s="184">
        <v>34</v>
      </c>
      <c r="AJ36" s="184">
        <v>35</v>
      </c>
      <c r="AK36" s="184">
        <v>36</v>
      </c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39"/>
      <c r="EL36" s="139"/>
      <c r="EM36" s="139"/>
      <c r="EN36" s="139"/>
      <c r="EO36" s="139"/>
      <c r="EP36" s="139"/>
      <c r="EQ36" s="139"/>
      <c r="ER36" s="139"/>
      <c r="ES36" s="139"/>
      <c r="ET36" s="139"/>
      <c r="EU36" s="139"/>
      <c r="EV36" s="139"/>
      <c r="EW36" s="139"/>
      <c r="EX36" s="139"/>
      <c r="EY36" s="139"/>
      <c r="EZ36" s="139"/>
      <c r="FA36" s="139"/>
      <c r="FB36" s="139"/>
      <c r="FC36" s="139"/>
      <c r="FD36" s="139"/>
      <c r="FE36" s="139"/>
      <c r="FF36" s="139"/>
      <c r="FG36" s="139"/>
      <c r="FH36" s="139"/>
      <c r="FI36" s="139"/>
      <c r="FJ36" s="139"/>
      <c r="FK36" s="139"/>
      <c r="FL36" s="139"/>
      <c r="FM36" s="139"/>
      <c r="FN36" s="139"/>
      <c r="FO36" s="139"/>
      <c r="FP36" s="139"/>
      <c r="FQ36" s="139"/>
      <c r="FR36" s="139"/>
      <c r="FS36" s="139"/>
      <c r="FT36" s="139"/>
      <c r="FU36" s="139"/>
      <c r="FV36" s="139"/>
      <c r="FW36" s="139"/>
      <c r="FX36" s="139"/>
      <c r="FY36" s="139"/>
      <c r="FZ36" s="139"/>
      <c r="GA36" s="139"/>
      <c r="GB36" s="139"/>
      <c r="GC36" s="139"/>
      <c r="GD36" s="139"/>
      <c r="GE36" s="139"/>
      <c r="GF36" s="139"/>
      <c r="GG36" s="139"/>
      <c r="GH36" s="139"/>
      <c r="GI36" s="139"/>
      <c r="GJ36" s="139"/>
      <c r="GK36" s="139"/>
      <c r="GL36" s="139"/>
      <c r="GM36" s="139"/>
      <c r="GN36" s="139"/>
      <c r="GO36" s="139"/>
      <c r="GP36" s="139"/>
      <c r="GQ36" s="139"/>
      <c r="GR36" s="139"/>
      <c r="GS36" s="139"/>
      <c r="GT36" s="139"/>
      <c r="GU36" s="139"/>
      <c r="GV36" s="139"/>
      <c r="GW36" s="139"/>
      <c r="GX36" s="139"/>
      <c r="GY36" s="139"/>
      <c r="GZ36" s="139"/>
      <c r="HA36" s="139"/>
      <c r="HB36" s="139"/>
      <c r="HC36" s="139"/>
      <c r="HD36" s="139"/>
      <c r="HE36" s="139"/>
      <c r="HF36" s="139"/>
      <c r="HG36" s="139"/>
      <c r="HH36" s="139"/>
      <c r="HI36" s="139"/>
      <c r="HJ36" s="139"/>
      <c r="HK36" s="139"/>
      <c r="HL36" s="139"/>
      <c r="HM36" s="139"/>
      <c r="HN36" s="139"/>
      <c r="HO36" s="139"/>
      <c r="HP36" s="139"/>
      <c r="HQ36" s="139"/>
      <c r="HR36" s="139"/>
      <c r="HS36" s="139"/>
      <c r="HT36" s="139"/>
      <c r="HU36" s="139"/>
      <c r="HV36" s="139"/>
      <c r="HW36" s="139"/>
      <c r="HX36" s="139"/>
      <c r="HY36" s="139"/>
      <c r="HZ36" s="139"/>
      <c r="IA36" s="139"/>
      <c r="IB36" s="139"/>
      <c r="IC36" s="139"/>
      <c r="ID36" s="139"/>
      <c r="IE36" s="139"/>
      <c r="IF36" s="139"/>
      <c r="IG36" s="139"/>
      <c r="IH36" s="139"/>
      <c r="II36" s="139"/>
      <c r="IJ36" s="139"/>
      <c r="IK36" s="139"/>
      <c r="IL36" s="139"/>
      <c r="IM36" s="139"/>
      <c r="IN36" s="139"/>
      <c r="IO36" s="139"/>
      <c r="IP36" s="139"/>
      <c r="IQ36" s="139"/>
      <c r="IR36" s="139"/>
      <c r="IS36" s="139"/>
      <c r="IT36" s="139"/>
      <c r="IU36" s="139"/>
      <c r="IV36" s="139"/>
      <c r="IW36" s="139"/>
      <c r="IX36" s="139"/>
      <c r="IY36" s="139"/>
      <c r="IZ36" s="139"/>
      <c r="JA36" s="139"/>
      <c r="JB36" s="139"/>
      <c r="JC36" s="139"/>
      <c r="JD36" s="139"/>
      <c r="JE36" s="139"/>
      <c r="JF36" s="139"/>
      <c r="JG36" s="139"/>
      <c r="JH36" s="139"/>
      <c r="JI36" s="139"/>
      <c r="JJ36" s="139"/>
      <c r="JK36" s="139"/>
      <c r="JL36" s="139"/>
      <c r="JM36" s="139"/>
      <c r="JN36" s="139"/>
      <c r="JO36" s="139"/>
      <c r="JP36" s="139"/>
      <c r="JQ36" s="139"/>
      <c r="JR36" s="139"/>
      <c r="JS36" s="139"/>
      <c r="JT36" s="139"/>
      <c r="JU36" s="139"/>
      <c r="JV36" s="139"/>
      <c r="JW36" s="139"/>
      <c r="JX36" s="139"/>
      <c r="JY36" s="139"/>
      <c r="JZ36" s="139"/>
      <c r="KA36" s="139"/>
      <c r="KB36" s="139"/>
      <c r="KC36" s="139"/>
      <c r="KD36" s="139"/>
      <c r="KE36" s="139"/>
      <c r="KF36" s="139"/>
      <c r="KG36" s="139"/>
      <c r="KH36" s="139"/>
      <c r="KI36" s="139"/>
      <c r="KJ36" s="139"/>
      <c r="KK36" s="139"/>
      <c r="KL36" s="139"/>
      <c r="KM36" s="139"/>
      <c r="KN36" s="139"/>
      <c r="KO36" s="139"/>
      <c r="KP36" s="139"/>
      <c r="KQ36" s="139"/>
      <c r="KR36" s="139"/>
      <c r="KS36" s="139"/>
      <c r="KT36" s="139"/>
      <c r="KU36" s="139"/>
      <c r="KV36" s="139"/>
      <c r="KW36" s="139"/>
      <c r="KX36" s="139"/>
      <c r="KY36" s="139"/>
      <c r="KZ36" s="139"/>
      <c r="LA36" s="139"/>
      <c r="LB36" s="139"/>
      <c r="LC36" s="139"/>
      <c r="LD36" s="139"/>
      <c r="LE36" s="139"/>
      <c r="LF36" s="139"/>
      <c r="LG36" s="139"/>
      <c r="LH36" s="139"/>
      <c r="LI36" s="139"/>
      <c r="LJ36" s="139"/>
      <c r="LK36" s="139"/>
      <c r="LL36" s="139"/>
      <c r="LM36" s="139"/>
      <c r="LN36" s="139"/>
      <c r="LO36" s="139"/>
      <c r="LP36" s="139"/>
      <c r="LQ36" s="139"/>
      <c r="LR36" s="139"/>
      <c r="LS36" s="139"/>
      <c r="LT36" s="139"/>
      <c r="LU36" s="139"/>
      <c r="LV36" s="139"/>
      <c r="LW36" s="139"/>
      <c r="LX36" s="139"/>
      <c r="LY36" s="139"/>
      <c r="LZ36" s="139"/>
      <c r="MA36" s="139"/>
      <c r="MB36" s="139"/>
      <c r="MC36" s="139"/>
      <c r="MD36" s="139"/>
      <c r="ME36" s="139"/>
      <c r="MF36" s="139"/>
      <c r="MG36" s="139"/>
      <c r="MH36" s="139"/>
      <c r="MI36" s="139"/>
      <c r="MJ36" s="139"/>
      <c r="MK36" s="139"/>
      <c r="ML36" s="139"/>
      <c r="MM36" s="139"/>
      <c r="MN36" s="139"/>
      <c r="MO36" s="139"/>
      <c r="MP36" s="139"/>
      <c r="MQ36" s="139"/>
      <c r="MR36" s="139"/>
      <c r="MS36" s="139"/>
      <c r="MT36" s="139"/>
      <c r="MU36" s="139"/>
      <c r="MV36" s="139"/>
      <c r="MW36" s="139"/>
      <c r="MX36" s="139"/>
      <c r="MY36" s="139"/>
      <c r="MZ36" s="139"/>
      <c r="NA36" s="139"/>
      <c r="NB36" s="139"/>
      <c r="NC36" s="139"/>
      <c r="ND36" s="139"/>
      <c r="NE36" s="139"/>
      <c r="NF36" s="139"/>
      <c r="NG36" s="139"/>
      <c r="NH36" s="139"/>
      <c r="NI36" s="139"/>
      <c r="NJ36" s="139"/>
      <c r="NK36" s="139"/>
      <c r="NL36" s="139"/>
      <c r="NM36" s="139"/>
      <c r="NN36" s="139"/>
      <c r="NO36" s="139"/>
      <c r="NP36" s="139"/>
      <c r="NQ36" s="139"/>
      <c r="NR36" s="139"/>
      <c r="NS36" s="139"/>
      <c r="NT36" s="139"/>
      <c r="NU36" s="139"/>
      <c r="NV36" s="139"/>
      <c r="NW36" s="139"/>
      <c r="NX36" s="139"/>
      <c r="NY36" s="139"/>
      <c r="NZ36" s="139"/>
      <c r="OA36" s="139"/>
      <c r="OB36" s="139"/>
      <c r="OC36" s="139"/>
      <c r="OD36" s="139"/>
      <c r="OE36" s="139"/>
      <c r="OF36" s="139"/>
      <c r="OG36" s="139"/>
      <c r="OH36" s="139"/>
      <c r="OI36" s="139"/>
      <c r="OJ36" s="139"/>
      <c r="OK36" s="139"/>
      <c r="OL36" s="139"/>
      <c r="OM36" s="139"/>
      <c r="ON36" s="139"/>
      <c r="OO36" s="139"/>
      <c r="OP36" s="139"/>
      <c r="OQ36" s="139"/>
      <c r="OR36" s="139"/>
      <c r="OS36" s="139"/>
      <c r="OT36" s="139"/>
      <c r="OU36" s="139"/>
      <c r="OV36" s="139"/>
      <c r="OW36" s="139"/>
      <c r="OX36" s="139"/>
      <c r="OY36" s="139"/>
      <c r="OZ36" s="139"/>
      <c r="PA36" s="139"/>
      <c r="PB36" s="139"/>
      <c r="PC36" s="139"/>
      <c r="PD36" s="139"/>
      <c r="PE36" s="139"/>
      <c r="PF36" s="139"/>
      <c r="PG36" s="139"/>
      <c r="PH36" s="139"/>
      <c r="PI36" s="139"/>
      <c r="PJ36" s="139"/>
      <c r="PK36" s="139"/>
      <c r="PL36" s="139"/>
      <c r="PM36" s="139"/>
      <c r="PN36" s="139"/>
      <c r="PO36" s="139"/>
      <c r="PP36" s="139"/>
      <c r="PQ36" s="139"/>
      <c r="PR36" s="139"/>
      <c r="PS36" s="139"/>
      <c r="PT36" s="139"/>
      <c r="PU36" s="139"/>
      <c r="PV36" s="139"/>
      <c r="PW36" s="139"/>
      <c r="PX36" s="139"/>
      <c r="PY36" s="139"/>
      <c r="PZ36" s="139"/>
      <c r="QA36" s="139"/>
      <c r="QB36" s="139"/>
      <c r="QC36" s="139"/>
      <c r="QD36" s="139"/>
      <c r="QE36" s="139"/>
      <c r="QF36" s="139"/>
      <c r="QG36" s="139"/>
      <c r="QH36" s="139"/>
      <c r="QI36" s="139"/>
      <c r="QJ36" s="139"/>
      <c r="QK36" s="139"/>
      <c r="QL36" s="139"/>
      <c r="QM36" s="139"/>
      <c r="QN36" s="139"/>
      <c r="QO36" s="139"/>
      <c r="QP36" s="139"/>
      <c r="QQ36" s="139"/>
      <c r="QR36" s="139"/>
      <c r="QS36" s="139"/>
      <c r="QT36" s="139"/>
      <c r="QU36" s="139"/>
      <c r="QV36" s="139"/>
      <c r="QW36" s="139"/>
      <c r="QX36" s="139"/>
      <c r="QY36" s="139"/>
      <c r="QZ36" s="139"/>
      <c r="RA36" s="139"/>
      <c r="RB36" s="139"/>
      <c r="RC36" s="139"/>
      <c r="RD36" s="139"/>
      <c r="RE36" s="139"/>
      <c r="RF36" s="139"/>
      <c r="RG36" s="139"/>
      <c r="RH36" s="139"/>
      <c r="RI36" s="139"/>
      <c r="RJ36" s="139"/>
      <c r="RK36" s="139"/>
      <c r="RL36" s="139"/>
      <c r="RM36" s="139"/>
      <c r="RN36" s="139"/>
      <c r="RO36" s="139"/>
      <c r="RP36" s="139"/>
      <c r="RQ36" s="139"/>
      <c r="RR36" s="139"/>
      <c r="RS36" s="139"/>
      <c r="RT36" s="139"/>
      <c r="RU36" s="139"/>
      <c r="RV36" s="139"/>
      <c r="RW36" s="139"/>
      <c r="RX36" s="139"/>
      <c r="RY36" s="139"/>
      <c r="RZ36" s="139"/>
      <c r="SA36" s="139"/>
      <c r="SB36" s="139"/>
      <c r="SC36" s="139"/>
      <c r="SD36" s="139"/>
      <c r="SE36" s="139"/>
      <c r="SF36" s="139"/>
      <c r="SG36" s="139"/>
      <c r="SH36" s="139"/>
      <c r="SI36" s="139"/>
      <c r="SJ36" s="139"/>
      <c r="SK36" s="139"/>
      <c r="SL36" s="139"/>
      <c r="SM36" s="139"/>
      <c r="SN36" s="139"/>
      <c r="SO36" s="139"/>
      <c r="SP36" s="139"/>
      <c r="SQ36" s="139"/>
      <c r="SR36" s="139"/>
      <c r="SS36" s="139"/>
      <c r="ST36" s="139"/>
      <c r="SU36" s="139"/>
      <c r="SV36" s="139"/>
      <c r="SW36" s="139"/>
      <c r="SX36" s="139"/>
      <c r="SY36" s="139"/>
      <c r="SZ36" s="139"/>
      <c r="TA36" s="139"/>
      <c r="TB36" s="139"/>
      <c r="TC36" s="139"/>
      <c r="TD36" s="139"/>
      <c r="TE36" s="139"/>
      <c r="TF36" s="139"/>
      <c r="TG36" s="139"/>
      <c r="TH36" s="139"/>
      <c r="TI36" s="139"/>
      <c r="TJ36" s="139"/>
      <c r="TK36" s="139"/>
      <c r="TL36" s="139"/>
      <c r="TM36" s="139"/>
      <c r="TN36" s="139"/>
      <c r="TO36" s="139"/>
      <c r="TP36" s="139"/>
      <c r="TQ36" s="139"/>
      <c r="TR36" s="139"/>
      <c r="TS36" s="139"/>
      <c r="TT36" s="139"/>
      <c r="TU36" s="139"/>
      <c r="TV36" s="139"/>
      <c r="TW36" s="139"/>
      <c r="TX36" s="139"/>
      <c r="TY36" s="139"/>
      <c r="TZ36" s="139"/>
      <c r="UA36" s="139"/>
      <c r="UB36" s="139"/>
      <c r="UC36" s="139"/>
      <c r="UD36" s="139"/>
      <c r="UE36" s="139"/>
      <c r="UF36" s="139"/>
      <c r="UG36" s="139"/>
      <c r="UH36" s="139"/>
      <c r="UI36" s="139"/>
      <c r="UJ36" s="139"/>
      <c r="UK36" s="139"/>
      <c r="UL36" s="139"/>
      <c r="UM36" s="139"/>
      <c r="UN36" s="139"/>
      <c r="UO36" s="139"/>
      <c r="UP36" s="139"/>
      <c r="UQ36" s="139"/>
      <c r="UR36" s="139"/>
      <c r="US36" s="139"/>
      <c r="UT36" s="139"/>
      <c r="UU36" s="139"/>
      <c r="UV36" s="139"/>
      <c r="UW36" s="139"/>
      <c r="UX36" s="139"/>
      <c r="UY36" s="139"/>
      <c r="UZ36" s="139"/>
      <c r="VA36" s="139"/>
      <c r="VB36" s="139"/>
      <c r="VC36" s="139"/>
      <c r="VD36" s="139"/>
      <c r="VE36" s="139"/>
      <c r="VF36" s="139"/>
      <c r="VG36" s="139"/>
      <c r="VH36" s="139"/>
      <c r="VI36" s="139"/>
      <c r="VJ36" s="139"/>
      <c r="VK36" s="139"/>
      <c r="VL36" s="139"/>
      <c r="VM36" s="139"/>
      <c r="VN36" s="139"/>
      <c r="VO36" s="139"/>
      <c r="VP36" s="139"/>
      <c r="VQ36" s="139"/>
      <c r="VR36" s="139"/>
      <c r="VS36" s="139"/>
      <c r="VT36" s="139"/>
      <c r="VU36" s="139"/>
      <c r="VV36" s="139"/>
      <c r="VW36" s="139"/>
      <c r="VX36" s="139"/>
      <c r="VY36" s="139"/>
      <c r="VZ36" s="139"/>
      <c r="WA36" s="139"/>
      <c r="WB36" s="139"/>
      <c r="WC36" s="139"/>
      <c r="WD36" s="139"/>
      <c r="WE36" s="139"/>
      <c r="WF36" s="139"/>
      <c r="WG36" s="139"/>
      <c r="WH36" s="139"/>
      <c r="WI36" s="139"/>
      <c r="WJ36" s="139"/>
      <c r="WK36" s="139"/>
      <c r="WL36" s="139"/>
      <c r="WM36" s="139"/>
      <c r="WN36" s="139"/>
      <c r="WO36" s="139"/>
      <c r="WP36" s="139"/>
      <c r="WQ36" s="139"/>
      <c r="WR36" s="139"/>
      <c r="WS36" s="139"/>
      <c r="WT36" s="139"/>
      <c r="WU36" s="139"/>
      <c r="WV36" s="139"/>
      <c r="WW36" s="139"/>
      <c r="WX36" s="139"/>
      <c r="WY36" s="139"/>
      <c r="WZ36" s="139"/>
      <c r="XA36" s="139"/>
      <c r="XB36" s="139"/>
      <c r="XC36" s="139"/>
      <c r="XD36" s="139"/>
      <c r="XE36" s="139"/>
      <c r="XF36" s="139"/>
      <c r="XG36" s="139"/>
      <c r="XH36" s="139"/>
      <c r="XI36" s="139"/>
      <c r="XJ36" s="139"/>
      <c r="XK36" s="139"/>
      <c r="XL36" s="139"/>
      <c r="XM36" s="139"/>
      <c r="XN36" s="139"/>
      <c r="XO36" s="139"/>
      <c r="XP36" s="139"/>
      <c r="XQ36" s="139"/>
      <c r="XR36" s="139"/>
      <c r="XS36" s="139"/>
      <c r="XT36" s="139"/>
      <c r="XU36" s="139"/>
      <c r="XV36" s="139"/>
      <c r="XW36" s="139"/>
      <c r="XX36" s="139"/>
      <c r="XY36" s="139"/>
      <c r="XZ36" s="139"/>
      <c r="YA36" s="139"/>
      <c r="YB36" s="139"/>
      <c r="YC36" s="139"/>
      <c r="YD36" s="139"/>
      <c r="YE36" s="139"/>
      <c r="YF36" s="139"/>
      <c r="YG36" s="139"/>
      <c r="YH36" s="139"/>
      <c r="YI36" s="139"/>
      <c r="YJ36" s="139"/>
      <c r="YK36" s="139"/>
      <c r="YL36" s="139"/>
      <c r="YM36" s="139"/>
      <c r="YN36" s="139"/>
      <c r="YO36" s="139"/>
      <c r="YP36" s="139"/>
      <c r="YQ36" s="139"/>
      <c r="YR36" s="139"/>
      <c r="YS36" s="139"/>
      <c r="YT36" s="139"/>
      <c r="YU36" s="139"/>
      <c r="YV36" s="139"/>
      <c r="YW36" s="139"/>
      <c r="YX36" s="139"/>
      <c r="YY36" s="139"/>
      <c r="YZ36" s="139"/>
      <c r="ZA36" s="139"/>
      <c r="ZB36" s="139"/>
      <c r="ZC36" s="139"/>
      <c r="ZD36" s="139"/>
      <c r="ZE36" s="139"/>
      <c r="ZF36" s="139"/>
      <c r="ZG36" s="139"/>
      <c r="ZH36" s="139"/>
      <c r="ZI36" s="139"/>
      <c r="ZJ36" s="139"/>
      <c r="ZK36" s="139"/>
      <c r="ZL36" s="139"/>
      <c r="ZM36" s="139"/>
      <c r="ZN36" s="139"/>
      <c r="ZO36" s="139"/>
      <c r="ZP36" s="139"/>
      <c r="ZQ36" s="139"/>
      <c r="ZR36" s="139"/>
      <c r="ZS36" s="139"/>
      <c r="ZT36" s="139"/>
      <c r="ZU36" s="139"/>
      <c r="ZV36" s="139"/>
      <c r="ZW36" s="139"/>
      <c r="ZX36" s="139"/>
      <c r="ZY36" s="139"/>
      <c r="ZZ36" s="139"/>
      <c r="AAA36" s="139"/>
      <c r="AAB36" s="139"/>
      <c r="AAC36" s="139"/>
      <c r="AAD36" s="139"/>
      <c r="AAE36" s="139"/>
      <c r="AAF36" s="139"/>
      <c r="AAG36" s="139"/>
      <c r="AAH36" s="139"/>
      <c r="AAI36" s="139"/>
      <c r="AAJ36" s="139"/>
      <c r="AAK36" s="139"/>
      <c r="AAL36" s="139"/>
      <c r="AAM36" s="139"/>
      <c r="AAN36" s="139"/>
      <c r="AAO36" s="139"/>
      <c r="AAP36" s="139"/>
      <c r="AAQ36" s="139"/>
      <c r="AAR36" s="139"/>
      <c r="AAS36" s="139"/>
      <c r="AAT36" s="139"/>
      <c r="AAU36" s="139"/>
      <c r="AAV36" s="139"/>
      <c r="AAW36" s="139"/>
      <c r="AAX36" s="139"/>
      <c r="AAY36" s="139"/>
      <c r="AAZ36" s="139"/>
      <c r="ABA36" s="139"/>
      <c r="ABB36" s="139"/>
      <c r="ABC36" s="139"/>
      <c r="ABD36" s="139"/>
      <c r="ABE36" s="139"/>
      <c r="ABF36" s="139"/>
      <c r="ABG36" s="139"/>
      <c r="ABH36" s="139"/>
      <c r="ABI36" s="139"/>
      <c r="ABJ36" s="139"/>
      <c r="ABK36" s="139"/>
      <c r="ABL36" s="139"/>
      <c r="ABM36" s="139"/>
      <c r="ABN36" s="139"/>
      <c r="ABO36" s="139"/>
      <c r="ABP36" s="139"/>
      <c r="ABQ36" s="139"/>
      <c r="ABR36" s="139"/>
      <c r="ABS36" s="139"/>
      <c r="ABT36" s="139"/>
      <c r="ABU36" s="139"/>
      <c r="ABV36" s="139"/>
      <c r="ABW36" s="139"/>
      <c r="ABX36" s="139"/>
      <c r="ABY36" s="139"/>
      <c r="ABZ36" s="139"/>
      <c r="ACA36" s="139"/>
      <c r="ACB36" s="139"/>
      <c r="ACC36" s="139"/>
      <c r="ACD36" s="139"/>
      <c r="ACE36" s="139"/>
      <c r="ACF36" s="139"/>
      <c r="ACG36" s="139"/>
      <c r="ACH36" s="139"/>
      <c r="ACI36" s="139"/>
      <c r="ACJ36" s="139"/>
      <c r="ACK36" s="139"/>
      <c r="ACL36" s="139"/>
      <c r="ACM36" s="139"/>
      <c r="ACN36" s="139"/>
      <c r="ACO36" s="139"/>
      <c r="ACP36" s="139"/>
      <c r="ACQ36" s="139"/>
      <c r="ACR36" s="139"/>
      <c r="ACS36" s="139"/>
      <c r="ACT36" s="139"/>
      <c r="ACU36" s="139"/>
      <c r="ACV36" s="139"/>
      <c r="ACW36" s="139"/>
      <c r="ACX36" s="139"/>
      <c r="ACY36" s="139"/>
      <c r="ACZ36" s="139"/>
      <c r="ADA36" s="139"/>
      <c r="ADB36" s="139"/>
      <c r="ADC36" s="139"/>
      <c r="ADD36" s="139"/>
      <c r="ADE36" s="139"/>
      <c r="ADF36" s="139"/>
      <c r="ADG36" s="139"/>
      <c r="ADH36" s="139"/>
      <c r="ADI36" s="139"/>
      <c r="ADJ36" s="139"/>
      <c r="ADK36" s="139"/>
      <c r="ADL36" s="139"/>
      <c r="ADM36" s="139"/>
      <c r="ADN36" s="139"/>
      <c r="ADO36" s="139"/>
      <c r="ADP36" s="139"/>
      <c r="ADQ36" s="139"/>
      <c r="ADR36" s="139"/>
      <c r="ADS36" s="139"/>
      <c r="ADT36" s="139"/>
      <c r="ADU36" s="139"/>
      <c r="ADV36" s="139"/>
      <c r="ADW36" s="139"/>
      <c r="ADX36" s="139"/>
      <c r="ADY36" s="139"/>
      <c r="ADZ36" s="139"/>
      <c r="AEA36" s="139"/>
      <c r="AEB36" s="139"/>
      <c r="AEC36" s="139"/>
      <c r="AED36" s="139"/>
      <c r="AEE36" s="139"/>
      <c r="AEF36" s="139"/>
      <c r="AEG36" s="139"/>
      <c r="AEH36" s="139"/>
      <c r="AEI36" s="139"/>
      <c r="AEJ36" s="139"/>
      <c r="AEK36" s="139"/>
      <c r="AEL36" s="139"/>
      <c r="AEM36" s="139"/>
      <c r="AEN36" s="139"/>
      <c r="AEO36" s="139"/>
      <c r="AEP36" s="139"/>
      <c r="AEQ36" s="139"/>
      <c r="AER36" s="139"/>
      <c r="AES36" s="139"/>
      <c r="AET36" s="139"/>
      <c r="AEU36" s="139"/>
      <c r="AEV36" s="139"/>
      <c r="AEW36" s="139"/>
      <c r="AEX36" s="139"/>
      <c r="AEY36" s="139"/>
      <c r="AEZ36" s="139"/>
      <c r="AFA36" s="139"/>
      <c r="AFB36" s="139"/>
      <c r="AFC36" s="139"/>
      <c r="AFD36" s="139"/>
      <c r="AFE36" s="139"/>
      <c r="AFF36" s="139"/>
      <c r="AFG36" s="139"/>
      <c r="AFH36" s="139"/>
      <c r="AFI36" s="139"/>
      <c r="AFJ36" s="139"/>
      <c r="AFK36" s="139"/>
      <c r="AFL36" s="139"/>
      <c r="AFM36" s="139"/>
      <c r="AFN36" s="139"/>
      <c r="AFO36" s="139"/>
      <c r="AFP36" s="139"/>
      <c r="AFQ36" s="139"/>
      <c r="AFR36" s="139"/>
      <c r="AFS36" s="139"/>
      <c r="AFT36" s="139"/>
      <c r="AFU36" s="139"/>
      <c r="AFV36" s="139"/>
      <c r="AFW36" s="139"/>
      <c r="AFX36" s="139"/>
      <c r="AFY36" s="139"/>
      <c r="AFZ36" s="139"/>
      <c r="AGA36" s="139"/>
      <c r="AGB36" s="139"/>
      <c r="AGC36" s="139"/>
      <c r="AGD36" s="139"/>
      <c r="AGE36" s="139"/>
      <c r="AGF36" s="139"/>
      <c r="AGG36" s="139"/>
      <c r="AGH36" s="139"/>
      <c r="AGI36" s="139"/>
      <c r="AGJ36" s="139"/>
      <c r="AGK36" s="139"/>
      <c r="AGL36" s="139"/>
      <c r="AGM36" s="139"/>
      <c r="AGN36" s="139"/>
      <c r="AGO36" s="139"/>
      <c r="AGP36" s="139"/>
      <c r="AGQ36" s="139"/>
      <c r="AGR36" s="139"/>
      <c r="AGS36" s="139"/>
      <c r="AGT36" s="139"/>
      <c r="AGU36" s="139"/>
      <c r="AGV36" s="139"/>
      <c r="AGW36" s="139"/>
      <c r="AGX36" s="139"/>
      <c r="AGY36" s="139"/>
      <c r="AGZ36" s="139"/>
      <c r="AHA36" s="139"/>
      <c r="AHB36" s="139"/>
      <c r="AHC36" s="139"/>
      <c r="AHD36" s="139"/>
      <c r="AHE36" s="139"/>
      <c r="AHF36" s="139"/>
      <c r="AHG36" s="139"/>
      <c r="AHH36" s="139"/>
      <c r="AHI36" s="139"/>
      <c r="AHJ36" s="139"/>
      <c r="AHK36" s="139"/>
      <c r="AHL36" s="139"/>
      <c r="AHM36" s="139"/>
      <c r="AHN36" s="139"/>
      <c r="AHO36" s="139"/>
      <c r="AHP36" s="139"/>
      <c r="AHQ36" s="139"/>
      <c r="AHR36" s="139"/>
      <c r="AHS36" s="139"/>
      <c r="AHT36" s="139"/>
      <c r="AHU36" s="139"/>
      <c r="AHV36" s="139"/>
      <c r="AHW36" s="139"/>
      <c r="AHX36" s="139"/>
      <c r="AHY36" s="139"/>
      <c r="AHZ36" s="139"/>
      <c r="AIA36" s="139"/>
      <c r="AIB36" s="139"/>
      <c r="AIC36" s="139"/>
      <c r="AID36" s="139"/>
      <c r="AIE36" s="139"/>
      <c r="AIF36" s="139"/>
      <c r="AIG36" s="139"/>
      <c r="AIH36" s="139"/>
      <c r="AII36" s="139"/>
      <c r="AIJ36" s="139"/>
      <c r="AIK36" s="139"/>
      <c r="AIL36" s="139"/>
      <c r="AIM36" s="139"/>
      <c r="AIN36" s="139"/>
      <c r="AIO36" s="139"/>
      <c r="AIP36" s="139"/>
      <c r="AIQ36" s="139"/>
      <c r="AIR36" s="139"/>
      <c r="AIS36" s="139"/>
      <c r="AIT36" s="139"/>
      <c r="AIU36" s="139"/>
      <c r="AIV36" s="139"/>
      <c r="AIW36" s="139"/>
      <c r="AIX36" s="139"/>
      <c r="AIY36" s="139"/>
      <c r="AIZ36" s="139"/>
      <c r="AJA36" s="139"/>
      <c r="AJB36" s="139"/>
      <c r="AJC36" s="139"/>
      <c r="AJD36" s="139"/>
      <c r="AJE36" s="139"/>
      <c r="AJF36" s="139"/>
      <c r="AJG36" s="139"/>
      <c r="AJH36" s="139"/>
      <c r="AJI36" s="139"/>
      <c r="AJJ36" s="139"/>
      <c r="AJK36" s="139"/>
      <c r="AJL36" s="139"/>
      <c r="AJM36" s="139"/>
      <c r="AJN36" s="139"/>
      <c r="AJO36" s="139"/>
      <c r="AJP36" s="139"/>
      <c r="AJQ36" s="139"/>
      <c r="AJR36" s="139"/>
      <c r="AJS36" s="139"/>
      <c r="AJT36" s="139"/>
      <c r="AJU36" s="139"/>
      <c r="AJV36" s="139"/>
      <c r="AJW36" s="139"/>
      <c r="AJX36" s="139"/>
      <c r="AJY36" s="139"/>
      <c r="AJZ36" s="139"/>
      <c r="AKA36" s="139"/>
      <c r="AKB36" s="139"/>
      <c r="AKC36" s="139"/>
      <c r="AKD36" s="139"/>
      <c r="AKE36" s="139"/>
      <c r="AKF36" s="139"/>
      <c r="AKG36" s="139"/>
      <c r="AKH36" s="139"/>
      <c r="AKI36" s="139"/>
      <c r="AKJ36" s="139"/>
      <c r="AKK36" s="139"/>
      <c r="AKL36" s="139"/>
      <c r="AKM36" s="139"/>
      <c r="AKN36" s="139"/>
      <c r="AKO36" s="139"/>
      <c r="AKP36" s="139"/>
      <c r="AKQ36" s="139"/>
      <c r="AKR36" s="139"/>
      <c r="AKS36" s="139"/>
      <c r="AKT36" s="139"/>
      <c r="AKU36" s="139"/>
      <c r="AKV36" s="139"/>
      <c r="AKW36" s="139"/>
      <c r="AKX36" s="139"/>
      <c r="AKY36" s="139"/>
      <c r="AKZ36" s="139"/>
      <c r="ALA36" s="139"/>
      <c r="ALB36" s="139"/>
      <c r="ALC36" s="139"/>
      <c r="ALD36" s="139"/>
      <c r="ALE36" s="139"/>
      <c r="ALF36" s="139"/>
      <c r="ALG36" s="139"/>
      <c r="ALH36" s="139"/>
      <c r="ALI36" s="139"/>
      <c r="ALJ36" s="139"/>
      <c r="ALK36" s="139"/>
      <c r="ALL36" s="139"/>
      <c r="ALM36" s="139"/>
      <c r="ALN36" s="139"/>
      <c r="ALO36" s="139"/>
      <c r="ALP36" s="139"/>
      <c r="ALQ36" s="139"/>
      <c r="ALR36" s="139"/>
      <c r="ALS36" s="139"/>
      <c r="ALT36" s="139"/>
      <c r="ALU36" s="139"/>
      <c r="ALV36" s="139"/>
      <c r="ALW36" s="139"/>
      <c r="ALX36" s="139"/>
      <c r="ALY36" s="139"/>
      <c r="ALZ36" s="139"/>
      <c r="AMA36" s="139"/>
      <c r="AMB36" s="139"/>
      <c r="AMC36" s="139"/>
      <c r="AMD36" s="139"/>
      <c r="AME36" s="139"/>
      <c r="AMF36" s="139"/>
      <c r="AMG36" s="139"/>
      <c r="AMH36" s="139"/>
      <c r="AMI36" s="139"/>
      <c r="AMJ36" s="139"/>
    </row>
    <row r="37" spans="1:1024" s="140" customFormat="1" x14ac:dyDescent="0.25">
      <c r="A37" s="183" t="s">
        <v>27</v>
      </c>
      <c r="B37" s="185" t="str">
        <f t="shared" ref="B37:AK37" si="16">MID($B4,B36,1)</f>
        <v>c</v>
      </c>
      <c r="C37" s="185" t="str">
        <f t="shared" si="16"/>
        <v>5</v>
      </c>
      <c r="D37" s="185" t="str">
        <f t="shared" si="16"/>
        <v>8</v>
      </c>
      <c r="E37" s="185" t="str">
        <f t="shared" si="16"/>
        <v>2</v>
      </c>
      <c r="F37" s="185" t="str">
        <f t="shared" si="16"/>
        <v>a</v>
      </c>
      <c r="G37" s="185" t="str">
        <f t="shared" si="16"/>
        <v>1</v>
      </c>
      <c r="H37" s="185" t="str">
        <f t="shared" si="16"/>
        <v>0</v>
      </c>
      <c r="I37" s="185" t="str">
        <f t="shared" si="16"/>
        <v>8</v>
      </c>
      <c r="J37" s="185" t="str">
        <f t="shared" si="16"/>
        <v>7</v>
      </c>
      <c r="K37" s="185" t="str">
        <f t="shared" si="16"/>
        <v>0</v>
      </c>
      <c r="L37" s="185" t="str">
        <f t="shared" si="16"/>
        <v>5</v>
      </c>
      <c r="M37" s="185" t="str">
        <f t="shared" si="16"/>
        <v>0</v>
      </c>
      <c r="N37" s="185" t="str">
        <f t="shared" si="16"/>
        <v>9</v>
      </c>
      <c r="O37" s="185" t="str">
        <f t="shared" si="16"/>
        <v>0</v>
      </c>
      <c r="P37" s="185" t="str">
        <f t="shared" si="16"/>
        <v>4</v>
      </c>
      <c r="Q37" s="185" t="str">
        <f t="shared" si="16"/>
        <v>b</v>
      </c>
      <c r="R37" s="185" t="str">
        <f t="shared" si="16"/>
        <v>3</v>
      </c>
      <c r="S37" s="185" t="str">
        <f t="shared" si="16"/>
        <v>1</v>
      </c>
      <c r="T37" s="185" t="str">
        <f t="shared" si="16"/>
        <v>1</v>
      </c>
      <c r="U37" s="185" t="str">
        <f t="shared" si="16"/>
        <v>4</v>
      </c>
      <c r="V37" s="185" t="str">
        <f t="shared" si="16"/>
        <v/>
      </c>
      <c r="W37" s="185" t="str">
        <f t="shared" si="16"/>
        <v/>
      </c>
      <c r="X37" s="185" t="str">
        <f t="shared" si="16"/>
        <v/>
      </c>
      <c r="Y37" s="185" t="str">
        <f t="shared" si="16"/>
        <v/>
      </c>
      <c r="Z37" s="185" t="str">
        <f t="shared" si="16"/>
        <v/>
      </c>
      <c r="AA37" s="185" t="str">
        <f t="shared" si="16"/>
        <v/>
      </c>
      <c r="AB37" s="185" t="str">
        <f t="shared" si="16"/>
        <v/>
      </c>
      <c r="AC37" s="185" t="str">
        <f t="shared" si="16"/>
        <v/>
      </c>
      <c r="AD37" s="185" t="str">
        <f t="shared" si="16"/>
        <v/>
      </c>
      <c r="AE37" s="185" t="str">
        <f t="shared" si="16"/>
        <v/>
      </c>
      <c r="AF37" s="185" t="str">
        <f t="shared" si="16"/>
        <v/>
      </c>
      <c r="AG37" s="185" t="str">
        <f t="shared" si="16"/>
        <v/>
      </c>
      <c r="AH37" s="185" t="str">
        <f t="shared" si="16"/>
        <v/>
      </c>
      <c r="AI37" s="185" t="str">
        <f t="shared" si="16"/>
        <v/>
      </c>
      <c r="AJ37" s="185" t="str">
        <f t="shared" si="16"/>
        <v/>
      </c>
      <c r="AK37" s="185" t="str">
        <f t="shared" si="16"/>
        <v/>
      </c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39"/>
      <c r="EL37" s="139"/>
      <c r="EM37" s="139"/>
      <c r="EN37" s="139"/>
      <c r="EO37" s="139"/>
      <c r="EP37" s="139"/>
      <c r="EQ37" s="139"/>
      <c r="ER37" s="139"/>
      <c r="ES37" s="139"/>
      <c r="ET37" s="139"/>
      <c r="EU37" s="139"/>
      <c r="EV37" s="139"/>
      <c r="EW37" s="139"/>
      <c r="EX37" s="139"/>
      <c r="EY37" s="139"/>
      <c r="EZ37" s="139"/>
      <c r="FA37" s="139"/>
      <c r="FB37" s="139"/>
      <c r="FC37" s="139"/>
      <c r="FD37" s="139"/>
      <c r="FE37" s="139"/>
      <c r="FF37" s="139"/>
      <c r="FG37" s="139"/>
      <c r="FH37" s="139"/>
      <c r="FI37" s="139"/>
      <c r="FJ37" s="139"/>
      <c r="FK37" s="139"/>
      <c r="FL37" s="139"/>
      <c r="FM37" s="139"/>
      <c r="FN37" s="139"/>
      <c r="FO37" s="139"/>
      <c r="FP37" s="139"/>
      <c r="FQ37" s="139"/>
      <c r="FR37" s="139"/>
      <c r="FS37" s="139"/>
      <c r="FT37" s="139"/>
      <c r="FU37" s="139"/>
      <c r="FV37" s="139"/>
      <c r="FW37" s="139"/>
      <c r="FX37" s="139"/>
      <c r="FY37" s="139"/>
      <c r="FZ37" s="139"/>
      <c r="GA37" s="139"/>
      <c r="GB37" s="139"/>
      <c r="GC37" s="139"/>
      <c r="GD37" s="139"/>
      <c r="GE37" s="139"/>
      <c r="GF37" s="139"/>
      <c r="GG37" s="139"/>
      <c r="GH37" s="139"/>
      <c r="GI37" s="139"/>
      <c r="GJ37" s="139"/>
      <c r="GK37" s="139"/>
      <c r="GL37" s="139"/>
      <c r="GM37" s="139"/>
      <c r="GN37" s="139"/>
      <c r="GO37" s="139"/>
      <c r="GP37" s="139"/>
      <c r="GQ37" s="139"/>
      <c r="GR37" s="139"/>
      <c r="GS37" s="139"/>
      <c r="GT37" s="139"/>
      <c r="GU37" s="139"/>
      <c r="GV37" s="139"/>
      <c r="GW37" s="139"/>
      <c r="GX37" s="139"/>
      <c r="GY37" s="139"/>
      <c r="GZ37" s="139"/>
      <c r="HA37" s="139"/>
      <c r="HB37" s="139"/>
      <c r="HC37" s="139"/>
      <c r="HD37" s="139"/>
      <c r="HE37" s="139"/>
      <c r="HF37" s="139"/>
      <c r="HG37" s="139"/>
      <c r="HH37" s="139"/>
      <c r="HI37" s="139"/>
      <c r="HJ37" s="139"/>
      <c r="HK37" s="139"/>
      <c r="HL37" s="139"/>
      <c r="HM37" s="139"/>
      <c r="HN37" s="139"/>
      <c r="HO37" s="139"/>
      <c r="HP37" s="139"/>
      <c r="HQ37" s="139"/>
      <c r="HR37" s="139"/>
      <c r="HS37" s="139"/>
      <c r="HT37" s="139"/>
      <c r="HU37" s="139"/>
      <c r="HV37" s="139"/>
      <c r="HW37" s="139"/>
      <c r="HX37" s="139"/>
      <c r="HY37" s="139"/>
      <c r="HZ37" s="139"/>
      <c r="IA37" s="139"/>
      <c r="IB37" s="139"/>
      <c r="IC37" s="139"/>
      <c r="ID37" s="139"/>
      <c r="IE37" s="139"/>
      <c r="IF37" s="139"/>
      <c r="IG37" s="139"/>
      <c r="IH37" s="139"/>
      <c r="II37" s="139"/>
      <c r="IJ37" s="139"/>
      <c r="IK37" s="139"/>
      <c r="IL37" s="139"/>
      <c r="IM37" s="139"/>
      <c r="IN37" s="139"/>
      <c r="IO37" s="139"/>
      <c r="IP37" s="139"/>
      <c r="IQ37" s="139"/>
      <c r="IR37" s="139"/>
      <c r="IS37" s="139"/>
      <c r="IT37" s="139"/>
      <c r="IU37" s="139"/>
      <c r="IV37" s="139"/>
      <c r="IW37" s="139"/>
      <c r="IX37" s="139"/>
      <c r="IY37" s="139"/>
      <c r="IZ37" s="139"/>
      <c r="JA37" s="139"/>
      <c r="JB37" s="139"/>
      <c r="JC37" s="139"/>
      <c r="JD37" s="139"/>
      <c r="JE37" s="139"/>
      <c r="JF37" s="139"/>
      <c r="JG37" s="139"/>
      <c r="JH37" s="139"/>
      <c r="JI37" s="139"/>
      <c r="JJ37" s="139"/>
      <c r="JK37" s="139"/>
      <c r="JL37" s="139"/>
      <c r="JM37" s="139"/>
      <c r="JN37" s="139"/>
      <c r="JO37" s="139"/>
      <c r="JP37" s="139"/>
      <c r="JQ37" s="139"/>
      <c r="JR37" s="139"/>
      <c r="JS37" s="139"/>
      <c r="JT37" s="139"/>
      <c r="JU37" s="139"/>
      <c r="JV37" s="139"/>
      <c r="JW37" s="139"/>
      <c r="JX37" s="139"/>
      <c r="JY37" s="139"/>
      <c r="JZ37" s="139"/>
      <c r="KA37" s="139"/>
      <c r="KB37" s="139"/>
      <c r="KC37" s="139"/>
      <c r="KD37" s="139"/>
      <c r="KE37" s="139"/>
      <c r="KF37" s="139"/>
      <c r="KG37" s="139"/>
      <c r="KH37" s="139"/>
      <c r="KI37" s="139"/>
      <c r="KJ37" s="139"/>
      <c r="KK37" s="139"/>
      <c r="KL37" s="139"/>
      <c r="KM37" s="139"/>
      <c r="KN37" s="139"/>
      <c r="KO37" s="139"/>
      <c r="KP37" s="139"/>
      <c r="KQ37" s="139"/>
      <c r="KR37" s="139"/>
      <c r="KS37" s="139"/>
      <c r="KT37" s="139"/>
      <c r="KU37" s="139"/>
      <c r="KV37" s="139"/>
      <c r="KW37" s="139"/>
      <c r="KX37" s="139"/>
      <c r="KY37" s="139"/>
      <c r="KZ37" s="139"/>
      <c r="LA37" s="139"/>
      <c r="LB37" s="139"/>
      <c r="LC37" s="139"/>
      <c r="LD37" s="139"/>
      <c r="LE37" s="139"/>
      <c r="LF37" s="139"/>
      <c r="LG37" s="139"/>
      <c r="LH37" s="139"/>
      <c r="LI37" s="139"/>
      <c r="LJ37" s="139"/>
      <c r="LK37" s="139"/>
      <c r="LL37" s="139"/>
      <c r="LM37" s="139"/>
      <c r="LN37" s="139"/>
      <c r="LO37" s="139"/>
      <c r="LP37" s="139"/>
      <c r="LQ37" s="139"/>
      <c r="LR37" s="139"/>
      <c r="LS37" s="139"/>
      <c r="LT37" s="139"/>
      <c r="LU37" s="139"/>
      <c r="LV37" s="139"/>
      <c r="LW37" s="139"/>
      <c r="LX37" s="139"/>
      <c r="LY37" s="139"/>
      <c r="LZ37" s="139"/>
      <c r="MA37" s="139"/>
      <c r="MB37" s="139"/>
      <c r="MC37" s="139"/>
      <c r="MD37" s="139"/>
      <c r="ME37" s="139"/>
      <c r="MF37" s="139"/>
      <c r="MG37" s="139"/>
      <c r="MH37" s="139"/>
      <c r="MI37" s="139"/>
      <c r="MJ37" s="139"/>
      <c r="MK37" s="139"/>
      <c r="ML37" s="139"/>
      <c r="MM37" s="139"/>
      <c r="MN37" s="139"/>
      <c r="MO37" s="139"/>
      <c r="MP37" s="139"/>
      <c r="MQ37" s="139"/>
      <c r="MR37" s="139"/>
      <c r="MS37" s="139"/>
      <c r="MT37" s="139"/>
      <c r="MU37" s="139"/>
      <c r="MV37" s="139"/>
      <c r="MW37" s="139"/>
      <c r="MX37" s="139"/>
      <c r="MY37" s="139"/>
      <c r="MZ37" s="139"/>
      <c r="NA37" s="139"/>
      <c r="NB37" s="139"/>
      <c r="NC37" s="139"/>
      <c r="ND37" s="139"/>
      <c r="NE37" s="139"/>
      <c r="NF37" s="139"/>
      <c r="NG37" s="139"/>
      <c r="NH37" s="139"/>
      <c r="NI37" s="139"/>
      <c r="NJ37" s="139"/>
      <c r="NK37" s="139"/>
      <c r="NL37" s="139"/>
      <c r="NM37" s="139"/>
      <c r="NN37" s="139"/>
      <c r="NO37" s="139"/>
      <c r="NP37" s="139"/>
      <c r="NQ37" s="139"/>
      <c r="NR37" s="139"/>
      <c r="NS37" s="139"/>
      <c r="NT37" s="139"/>
      <c r="NU37" s="139"/>
      <c r="NV37" s="139"/>
      <c r="NW37" s="139"/>
      <c r="NX37" s="139"/>
      <c r="NY37" s="139"/>
      <c r="NZ37" s="139"/>
      <c r="OA37" s="139"/>
      <c r="OB37" s="139"/>
      <c r="OC37" s="139"/>
      <c r="OD37" s="139"/>
      <c r="OE37" s="139"/>
      <c r="OF37" s="139"/>
      <c r="OG37" s="139"/>
      <c r="OH37" s="139"/>
      <c r="OI37" s="139"/>
      <c r="OJ37" s="139"/>
      <c r="OK37" s="139"/>
      <c r="OL37" s="139"/>
      <c r="OM37" s="139"/>
      <c r="ON37" s="139"/>
      <c r="OO37" s="139"/>
      <c r="OP37" s="139"/>
      <c r="OQ37" s="139"/>
      <c r="OR37" s="139"/>
      <c r="OS37" s="139"/>
      <c r="OT37" s="139"/>
      <c r="OU37" s="139"/>
      <c r="OV37" s="139"/>
      <c r="OW37" s="139"/>
      <c r="OX37" s="139"/>
      <c r="OY37" s="139"/>
      <c r="OZ37" s="139"/>
      <c r="PA37" s="139"/>
      <c r="PB37" s="139"/>
      <c r="PC37" s="139"/>
      <c r="PD37" s="139"/>
      <c r="PE37" s="139"/>
      <c r="PF37" s="139"/>
      <c r="PG37" s="139"/>
      <c r="PH37" s="139"/>
      <c r="PI37" s="139"/>
      <c r="PJ37" s="139"/>
      <c r="PK37" s="139"/>
      <c r="PL37" s="139"/>
      <c r="PM37" s="139"/>
      <c r="PN37" s="139"/>
      <c r="PO37" s="139"/>
      <c r="PP37" s="139"/>
      <c r="PQ37" s="139"/>
      <c r="PR37" s="139"/>
      <c r="PS37" s="139"/>
      <c r="PT37" s="139"/>
      <c r="PU37" s="139"/>
      <c r="PV37" s="139"/>
      <c r="PW37" s="139"/>
      <c r="PX37" s="139"/>
      <c r="PY37" s="139"/>
      <c r="PZ37" s="139"/>
      <c r="QA37" s="139"/>
      <c r="QB37" s="139"/>
      <c r="QC37" s="139"/>
      <c r="QD37" s="139"/>
      <c r="QE37" s="139"/>
      <c r="QF37" s="139"/>
      <c r="QG37" s="139"/>
      <c r="QH37" s="139"/>
      <c r="QI37" s="139"/>
      <c r="QJ37" s="139"/>
      <c r="QK37" s="139"/>
      <c r="QL37" s="139"/>
      <c r="QM37" s="139"/>
      <c r="QN37" s="139"/>
      <c r="QO37" s="139"/>
      <c r="QP37" s="139"/>
      <c r="QQ37" s="139"/>
      <c r="QR37" s="139"/>
      <c r="QS37" s="139"/>
      <c r="QT37" s="139"/>
      <c r="QU37" s="139"/>
      <c r="QV37" s="139"/>
      <c r="QW37" s="139"/>
      <c r="QX37" s="139"/>
      <c r="QY37" s="139"/>
      <c r="QZ37" s="139"/>
      <c r="RA37" s="139"/>
      <c r="RB37" s="139"/>
      <c r="RC37" s="139"/>
      <c r="RD37" s="139"/>
      <c r="RE37" s="139"/>
      <c r="RF37" s="139"/>
      <c r="RG37" s="139"/>
      <c r="RH37" s="139"/>
      <c r="RI37" s="139"/>
      <c r="RJ37" s="139"/>
      <c r="RK37" s="139"/>
      <c r="RL37" s="139"/>
      <c r="RM37" s="139"/>
      <c r="RN37" s="139"/>
      <c r="RO37" s="139"/>
      <c r="RP37" s="139"/>
      <c r="RQ37" s="139"/>
      <c r="RR37" s="139"/>
      <c r="RS37" s="139"/>
      <c r="RT37" s="139"/>
      <c r="RU37" s="139"/>
      <c r="RV37" s="139"/>
      <c r="RW37" s="139"/>
      <c r="RX37" s="139"/>
      <c r="RY37" s="139"/>
      <c r="RZ37" s="139"/>
      <c r="SA37" s="139"/>
      <c r="SB37" s="139"/>
      <c r="SC37" s="139"/>
      <c r="SD37" s="139"/>
      <c r="SE37" s="139"/>
      <c r="SF37" s="139"/>
      <c r="SG37" s="139"/>
      <c r="SH37" s="139"/>
      <c r="SI37" s="139"/>
      <c r="SJ37" s="139"/>
      <c r="SK37" s="139"/>
      <c r="SL37" s="139"/>
      <c r="SM37" s="139"/>
      <c r="SN37" s="139"/>
      <c r="SO37" s="139"/>
      <c r="SP37" s="139"/>
      <c r="SQ37" s="139"/>
      <c r="SR37" s="139"/>
      <c r="SS37" s="139"/>
      <c r="ST37" s="139"/>
      <c r="SU37" s="139"/>
      <c r="SV37" s="139"/>
      <c r="SW37" s="139"/>
      <c r="SX37" s="139"/>
      <c r="SY37" s="139"/>
      <c r="SZ37" s="139"/>
      <c r="TA37" s="139"/>
      <c r="TB37" s="139"/>
      <c r="TC37" s="139"/>
      <c r="TD37" s="139"/>
      <c r="TE37" s="139"/>
      <c r="TF37" s="139"/>
      <c r="TG37" s="139"/>
      <c r="TH37" s="139"/>
      <c r="TI37" s="139"/>
      <c r="TJ37" s="139"/>
      <c r="TK37" s="139"/>
      <c r="TL37" s="139"/>
      <c r="TM37" s="139"/>
      <c r="TN37" s="139"/>
      <c r="TO37" s="139"/>
      <c r="TP37" s="139"/>
      <c r="TQ37" s="139"/>
      <c r="TR37" s="139"/>
      <c r="TS37" s="139"/>
      <c r="TT37" s="139"/>
      <c r="TU37" s="139"/>
      <c r="TV37" s="139"/>
      <c r="TW37" s="139"/>
      <c r="TX37" s="139"/>
      <c r="TY37" s="139"/>
      <c r="TZ37" s="139"/>
      <c r="UA37" s="139"/>
      <c r="UB37" s="139"/>
      <c r="UC37" s="139"/>
      <c r="UD37" s="139"/>
      <c r="UE37" s="139"/>
      <c r="UF37" s="139"/>
      <c r="UG37" s="139"/>
      <c r="UH37" s="139"/>
      <c r="UI37" s="139"/>
      <c r="UJ37" s="139"/>
      <c r="UK37" s="139"/>
      <c r="UL37" s="139"/>
      <c r="UM37" s="139"/>
      <c r="UN37" s="139"/>
      <c r="UO37" s="139"/>
      <c r="UP37" s="139"/>
      <c r="UQ37" s="139"/>
      <c r="UR37" s="139"/>
      <c r="US37" s="139"/>
      <c r="UT37" s="139"/>
      <c r="UU37" s="139"/>
      <c r="UV37" s="139"/>
      <c r="UW37" s="139"/>
      <c r="UX37" s="139"/>
      <c r="UY37" s="139"/>
      <c r="UZ37" s="139"/>
      <c r="VA37" s="139"/>
      <c r="VB37" s="139"/>
      <c r="VC37" s="139"/>
      <c r="VD37" s="139"/>
      <c r="VE37" s="139"/>
      <c r="VF37" s="139"/>
      <c r="VG37" s="139"/>
      <c r="VH37" s="139"/>
      <c r="VI37" s="139"/>
      <c r="VJ37" s="139"/>
      <c r="VK37" s="139"/>
      <c r="VL37" s="139"/>
      <c r="VM37" s="139"/>
      <c r="VN37" s="139"/>
      <c r="VO37" s="139"/>
      <c r="VP37" s="139"/>
      <c r="VQ37" s="139"/>
      <c r="VR37" s="139"/>
      <c r="VS37" s="139"/>
      <c r="VT37" s="139"/>
      <c r="VU37" s="139"/>
      <c r="VV37" s="139"/>
      <c r="VW37" s="139"/>
      <c r="VX37" s="139"/>
      <c r="VY37" s="139"/>
      <c r="VZ37" s="139"/>
      <c r="WA37" s="139"/>
      <c r="WB37" s="139"/>
      <c r="WC37" s="139"/>
      <c r="WD37" s="139"/>
      <c r="WE37" s="139"/>
      <c r="WF37" s="139"/>
      <c r="WG37" s="139"/>
      <c r="WH37" s="139"/>
      <c r="WI37" s="139"/>
      <c r="WJ37" s="139"/>
      <c r="WK37" s="139"/>
      <c r="WL37" s="139"/>
      <c r="WM37" s="139"/>
      <c r="WN37" s="139"/>
      <c r="WO37" s="139"/>
      <c r="WP37" s="139"/>
      <c r="WQ37" s="139"/>
      <c r="WR37" s="139"/>
      <c r="WS37" s="139"/>
      <c r="WT37" s="139"/>
      <c r="WU37" s="139"/>
      <c r="WV37" s="139"/>
      <c r="WW37" s="139"/>
      <c r="WX37" s="139"/>
      <c r="WY37" s="139"/>
      <c r="WZ37" s="139"/>
      <c r="XA37" s="139"/>
      <c r="XB37" s="139"/>
      <c r="XC37" s="139"/>
      <c r="XD37" s="139"/>
      <c r="XE37" s="139"/>
      <c r="XF37" s="139"/>
      <c r="XG37" s="139"/>
      <c r="XH37" s="139"/>
      <c r="XI37" s="139"/>
      <c r="XJ37" s="139"/>
      <c r="XK37" s="139"/>
      <c r="XL37" s="139"/>
      <c r="XM37" s="139"/>
      <c r="XN37" s="139"/>
      <c r="XO37" s="139"/>
      <c r="XP37" s="139"/>
      <c r="XQ37" s="139"/>
      <c r="XR37" s="139"/>
      <c r="XS37" s="139"/>
      <c r="XT37" s="139"/>
      <c r="XU37" s="139"/>
      <c r="XV37" s="139"/>
      <c r="XW37" s="139"/>
      <c r="XX37" s="139"/>
      <c r="XY37" s="139"/>
      <c r="XZ37" s="139"/>
      <c r="YA37" s="139"/>
      <c r="YB37" s="139"/>
      <c r="YC37" s="139"/>
      <c r="YD37" s="139"/>
      <c r="YE37" s="139"/>
      <c r="YF37" s="139"/>
      <c r="YG37" s="139"/>
      <c r="YH37" s="139"/>
      <c r="YI37" s="139"/>
      <c r="YJ37" s="139"/>
      <c r="YK37" s="139"/>
      <c r="YL37" s="139"/>
      <c r="YM37" s="139"/>
      <c r="YN37" s="139"/>
      <c r="YO37" s="139"/>
      <c r="YP37" s="139"/>
      <c r="YQ37" s="139"/>
      <c r="YR37" s="139"/>
      <c r="YS37" s="139"/>
      <c r="YT37" s="139"/>
      <c r="YU37" s="139"/>
      <c r="YV37" s="139"/>
      <c r="YW37" s="139"/>
      <c r="YX37" s="139"/>
      <c r="YY37" s="139"/>
      <c r="YZ37" s="139"/>
      <c r="ZA37" s="139"/>
      <c r="ZB37" s="139"/>
      <c r="ZC37" s="139"/>
      <c r="ZD37" s="139"/>
      <c r="ZE37" s="139"/>
      <c r="ZF37" s="139"/>
      <c r="ZG37" s="139"/>
      <c r="ZH37" s="139"/>
      <c r="ZI37" s="139"/>
      <c r="ZJ37" s="139"/>
      <c r="ZK37" s="139"/>
      <c r="ZL37" s="139"/>
      <c r="ZM37" s="139"/>
      <c r="ZN37" s="139"/>
      <c r="ZO37" s="139"/>
      <c r="ZP37" s="139"/>
      <c r="ZQ37" s="139"/>
      <c r="ZR37" s="139"/>
      <c r="ZS37" s="139"/>
      <c r="ZT37" s="139"/>
      <c r="ZU37" s="139"/>
      <c r="ZV37" s="139"/>
      <c r="ZW37" s="139"/>
      <c r="ZX37" s="139"/>
      <c r="ZY37" s="139"/>
      <c r="ZZ37" s="139"/>
      <c r="AAA37" s="139"/>
      <c r="AAB37" s="139"/>
      <c r="AAC37" s="139"/>
      <c r="AAD37" s="139"/>
      <c r="AAE37" s="139"/>
      <c r="AAF37" s="139"/>
      <c r="AAG37" s="139"/>
      <c r="AAH37" s="139"/>
      <c r="AAI37" s="139"/>
      <c r="AAJ37" s="139"/>
      <c r="AAK37" s="139"/>
      <c r="AAL37" s="139"/>
      <c r="AAM37" s="139"/>
      <c r="AAN37" s="139"/>
      <c r="AAO37" s="139"/>
      <c r="AAP37" s="139"/>
      <c r="AAQ37" s="139"/>
      <c r="AAR37" s="139"/>
      <c r="AAS37" s="139"/>
      <c r="AAT37" s="139"/>
      <c r="AAU37" s="139"/>
      <c r="AAV37" s="139"/>
      <c r="AAW37" s="139"/>
      <c r="AAX37" s="139"/>
      <c r="AAY37" s="139"/>
      <c r="AAZ37" s="139"/>
      <c r="ABA37" s="139"/>
      <c r="ABB37" s="139"/>
      <c r="ABC37" s="139"/>
      <c r="ABD37" s="139"/>
      <c r="ABE37" s="139"/>
      <c r="ABF37" s="139"/>
      <c r="ABG37" s="139"/>
      <c r="ABH37" s="139"/>
      <c r="ABI37" s="139"/>
      <c r="ABJ37" s="139"/>
      <c r="ABK37" s="139"/>
      <c r="ABL37" s="139"/>
      <c r="ABM37" s="139"/>
      <c r="ABN37" s="139"/>
      <c r="ABO37" s="139"/>
      <c r="ABP37" s="139"/>
      <c r="ABQ37" s="139"/>
      <c r="ABR37" s="139"/>
      <c r="ABS37" s="139"/>
      <c r="ABT37" s="139"/>
      <c r="ABU37" s="139"/>
      <c r="ABV37" s="139"/>
      <c r="ABW37" s="139"/>
      <c r="ABX37" s="139"/>
      <c r="ABY37" s="139"/>
      <c r="ABZ37" s="139"/>
      <c r="ACA37" s="139"/>
      <c r="ACB37" s="139"/>
      <c r="ACC37" s="139"/>
      <c r="ACD37" s="139"/>
      <c r="ACE37" s="139"/>
      <c r="ACF37" s="139"/>
      <c r="ACG37" s="139"/>
      <c r="ACH37" s="139"/>
      <c r="ACI37" s="139"/>
      <c r="ACJ37" s="139"/>
      <c r="ACK37" s="139"/>
      <c r="ACL37" s="139"/>
      <c r="ACM37" s="139"/>
      <c r="ACN37" s="139"/>
      <c r="ACO37" s="139"/>
      <c r="ACP37" s="139"/>
      <c r="ACQ37" s="139"/>
      <c r="ACR37" s="139"/>
      <c r="ACS37" s="139"/>
      <c r="ACT37" s="139"/>
      <c r="ACU37" s="139"/>
      <c r="ACV37" s="139"/>
      <c r="ACW37" s="139"/>
      <c r="ACX37" s="139"/>
      <c r="ACY37" s="139"/>
      <c r="ACZ37" s="139"/>
      <c r="ADA37" s="139"/>
      <c r="ADB37" s="139"/>
      <c r="ADC37" s="139"/>
      <c r="ADD37" s="139"/>
      <c r="ADE37" s="139"/>
      <c r="ADF37" s="139"/>
      <c r="ADG37" s="139"/>
      <c r="ADH37" s="139"/>
      <c r="ADI37" s="139"/>
      <c r="ADJ37" s="139"/>
      <c r="ADK37" s="139"/>
      <c r="ADL37" s="139"/>
      <c r="ADM37" s="139"/>
      <c r="ADN37" s="139"/>
      <c r="ADO37" s="139"/>
      <c r="ADP37" s="139"/>
      <c r="ADQ37" s="139"/>
      <c r="ADR37" s="139"/>
      <c r="ADS37" s="139"/>
      <c r="ADT37" s="139"/>
      <c r="ADU37" s="139"/>
      <c r="ADV37" s="139"/>
      <c r="ADW37" s="139"/>
      <c r="ADX37" s="139"/>
      <c r="ADY37" s="139"/>
      <c r="ADZ37" s="139"/>
      <c r="AEA37" s="139"/>
      <c r="AEB37" s="139"/>
      <c r="AEC37" s="139"/>
      <c r="AED37" s="139"/>
      <c r="AEE37" s="139"/>
      <c r="AEF37" s="139"/>
      <c r="AEG37" s="139"/>
      <c r="AEH37" s="139"/>
      <c r="AEI37" s="139"/>
      <c r="AEJ37" s="139"/>
      <c r="AEK37" s="139"/>
      <c r="AEL37" s="139"/>
      <c r="AEM37" s="139"/>
      <c r="AEN37" s="139"/>
      <c r="AEO37" s="139"/>
      <c r="AEP37" s="139"/>
      <c r="AEQ37" s="139"/>
      <c r="AER37" s="139"/>
      <c r="AES37" s="139"/>
      <c r="AET37" s="139"/>
      <c r="AEU37" s="139"/>
      <c r="AEV37" s="139"/>
      <c r="AEW37" s="139"/>
      <c r="AEX37" s="139"/>
      <c r="AEY37" s="139"/>
      <c r="AEZ37" s="139"/>
      <c r="AFA37" s="139"/>
      <c r="AFB37" s="139"/>
      <c r="AFC37" s="139"/>
      <c r="AFD37" s="139"/>
      <c r="AFE37" s="139"/>
      <c r="AFF37" s="139"/>
      <c r="AFG37" s="139"/>
      <c r="AFH37" s="139"/>
      <c r="AFI37" s="139"/>
      <c r="AFJ37" s="139"/>
      <c r="AFK37" s="139"/>
      <c r="AFL37" s="139"/>
      <c r="AFM37" s="139"/>
      <c r="AFN37" s="139"/>
      <c r="AFO37" s="139"/>
      <c r="AFP37" s="139"/>
      <c r="AFQ37" s="139"/>
      <c r="AFR37" s="139"/>
      <c r="AFS37" s="139"/>
      <c r="AFT37" s="139"/>
      <c r="AFU37" s="139"/>
      <c r="AFV37" s="139"/>
      <c r="AFW37" s="139"/>
      <c r="AFX37" s="139"/>
      <c r="AFY37" s="139"/>
      <c r="AFZ37" s="139"/>
      <c r="AGA37" s="139"/>
      <c r="AGB37" s="139"/>
      <c r="AGC37" s="139"/>
      <c r="AGD37" s="139"/>
      <c r="AGE37" s="139"/>
      <c r="AGF37" s="139"/>
      <c r="AGG37" s="139"/>
      <c r="AGH37" s="139"/>
      <c r="AGI37" s="139"/>
      <c r="AGJ37" s="139"/>
      <c r="AGK37" s="139"/>
      <c r="AGL37" s="139"/>
      <c r="AGM37" s="139"/>
      <c r="AGN37" s="139"/>
      <c r="AGO37" s="139"/>
      <c r="AGP37" s="139"/>
      <c r="AGQ37" s="139"/>
      <c r="AGR37" s="139"/>
      <c r="AGS37" s="139"/>
      <c r="AGT37" s="139"/>
      <c r="AGU37" s="139"/>
      <c r="AGV37" s="139"/>
      <c r="AGW37" s="139"/>
      <c r="AGX37" s="139"/>
      <c r="AGY37" s="139"/>
      <c r="AGZ37" s="139"/>
      <c r="AHA37" s="139"/>
      <c r="AHB37" s="139"/>
      <c r="AHC37" s="139"/>
      <c r="AHD37" s="139"/>
      <c r="AHE37" s="139"/>
      <c r="AHF37" s="139"/>
      <c r="AHG37" s="139"/>
      <c r="AHH37" s="139"/>
      <c r="AHI37" s="139"/>
      <c r="AHJ37" s="139"/>
      <c r="AHK37" s="139"/>
      <c r="AHL37" s="139"/>
      <c r="AHM37" s="139"/>
      <c r="AHN37" s="139"/>
      <c r="AHO37" s="139"/>
      <c r="AHP37" s="139"/>
      <c r="AHQ37" s="139"/>
      <c r="AHR37" s="139"/>
      <c r="AHS37" s="139"/>
      <c r="AHT37" s="139"/>
      <c r="AHU37" s="139"/>
      <c r="AHV37" s="139"/>
      <c r="AHW37" s="139"/>
      <c r="AHX37" s="139"/>
      <c r="AHY37" s="139"/>
      <c r="AHZ37" s="139"/>
      <c r="AIA37" s="139"/>
      <c r="AIB37" s="139"/>
      <c r="AIC37" s="139"/>
      <c r="AID37" s="139"/>
      <c r="AIE37" s="139"/>
      <c r="AIF37" s="139"/>
      <c r="AIG37" s="139"/>
      <c r="AIH37" s="139"/>
      <c r="AII37" s="139"/>
      <c r="AIJ37" s="139"/>
      <c r="AIK37" s="139"/>
      <c r="AIL37" s="139"/>
      <c r="AIM37" s="139"/>
      <c r="AIN37" s="139"/>
      <c r="AIO37" s="139"/>
      <c r="AIP37" s="139"/>
      <c r="AIQ37" s="139"/>
      <c r="AIR37" s="139"/>
      <c r="AIS37" s="139"/>
      <c r="AIT37" s="139"/>
      <c r="AIU37" s="139"/>
      <c r="AIV37" s="139"/>
      <c r="AIW37" s="139"/>
      <c r="AIX37" s="139"/>
      <c r="AIY37" s="139"/>
      <c r="AIZ37" s="139"/>
      <c r="AJA37" s="139"/>
      <c r="AJB37" s="139"/>
      <c r="AJC37" s="139"/>
      <c r="AJD37" s="139"/>
      <c r="AJE37" s="139"/>
      <c r="AJF37" s="139"/>
      <c r="AJG37" s="139"/>
      <c r="AJH37" s="139"/>
      <c r="AJI37" s="139"/>
      <c r="AJJ37" s="139"/>
      <c r="AJK37" s="139"/>
      <c r="AJL37" s="139"/>
      <c r="AJM37" s="139"/>
      <c r="AJN37" s="139"/>
      <c r="AJO37" s="139"/>
      <c r="AJP37" s="139"/>
      <c r="AJQ37" s="139"/>
      <c r="AJR37" s="139"/>
      <c r="AJS37" s="139"/>
      <c r="AJT37" s="139"/>
      <c r="AJU37" s="139"/>
      <c r="AJV37" s="139"/>
      <c r="AJW37" s="139"/>
      <c r="AJX37" s="139"/>
      <c r="AJY37" s="139"/>
      <c r="AJZ37" s="139"/>
      <c r="AKA37" s="139"/>
      <c r="AKB37" s="139"/>
      <c r="AKC37" s="139"/>
      <c r="AKD37" s="139"/>
      <c r="AKE37" s="139"/>
      <c r="AKF37" s="139"/>
      <c r="AKG37" s="139"/>
      <c r="AKH37" s="139"/>
      <c r="AKI37" s="139"/>
      <c r="AKJ37" s="139"/>
      <c r="AKK37" s="139"/>
      <c r="AKL37" s="139"/>
      <c r="AKM37" s="139"/>
      <c r="AKN37" s="139"/>
      <c r="AKO37" s="139"/>
      <c r="AKP37" s="139"/>
      <c r="AKQ37" s="139"/>
      <c r="AKR37" s="139"/>
      <c r="AKS37" s="139"/>
      <c r="AKT37" s="139"/>
      <c r="AKU37" s="139"/>
      <c r="AKV37" s="139"/>
      <c r="AKW37" s="139"/>
      <c r="AKX37" s="139"/>
      <c r="AKY37" s="139"/>
      <c r="AKZ37" s="139"/>
      <c r="ALA37" s="139"/>
      <c r="ALB37" s="139"/>
      <c r="ALC37" s="139"/>
      <c r="ALD37" s="139"/>
      <c r="ALE37" s="139"/>
      <c r="ALF37" s="139"/>
      <c r="ALG37" s="139"/>
      <c r="ALH37" s="139"/>
      <c r="ALI37" s="139"/>
      <c r="ALJ37" s="139"/>
      <c r="ALK37" s="139"/>
      <c r="ALL37" s="139"/>
      <c r="ALM37" s="139"/>
      <c r="ALN37" s="139"/>
      <c r="ALO37" s="139"/>
      <c r="ALP37" s="139"/>
      <c r="ALQ37" s="139"/>
      <c r="ALR37" s="139"/>
      <c r="ALS37" s="139"/>
      <c r="ALT37" s="139"/>
      <c r="ALU37" s="139"/>
      <c r="ALV37" s="139"/>
      <c r="ALW37" s="139"/>
      <c r="ALX37" s="139"/>
      <c r="ALY37" s="139"/>
      <c r="ALZ37" s="139"/>
      <c r="AMA37" s="139"/>
      <c r="AMB37" s="139"/>
      <c r="AMC37" s="139"/>
      <c r="AMD37" s="139"/>
      <c r="AME37" s="139"/>
      <c r="AMF37" s="139"/>
      <c r="AMG37" s="139"/>
      <c r="AMH37" s="139"/>
      <c r="AMI37" s="139"/>
      <c r="AMJ37" s="139"/>
    </row>
    <row r="38" spans="1:1024" s="140" customFormat="1" x14ac:dyDescent="0.25">
      <c r="A38" s="183" t="s">
        <v>28</v>
      </c>
      <c r="B38" s="184" t="str">
        <f t="shared" ref="B38:AK38" si="17">HEX2BIN(B37,4)</f>
        <v>1100</v>
      </c>
      <c r="C38" s="184" t="str">
        <f t="shared" si="17"/>
        <v>0101</v>
      </c>
      <c r="D38" s="184" t="str">
        <f t="shared" si="17"/>
        <v>1000</v>
      </c>
      <c r="E38" s="184" t="str">
        <f t="shared" si="17"/>
        <v>0010</v>
      </c>
      <c r="F38" s="184" t="str">
        <f t="shared" si="17"/>
        <v>1010</v>
      </c>
      <c r="G38" s="184" t="str">
        <f t="shared" si="17"/>
        <v>0001</v>
      </c>
      <c r="H38" s="184" t="str">
        <f t="shared" si="17"/>
        <v>0000</v>
      </c>
      <c r="I38" s="184" t="str">
        <f t="shared" si="17"/>
        <v>1000</v>
      </c>
      <c r="J38" s="184" t="str">
        <f t="shared" si="17"/>
        <v>0111</v>
      </c>
      <c r="K38" s="184" t="str">
        <f t="shared" si="17"/>
        <v>0000</v>
      </c>
      <c r="L38" s="184" t="str">
        <f t="shared" si="17"/>
        <v>0101</v>
      </c>
      <c r="M38" s="184" t="str">
        <f t="shared" si="17"/>
        <v>0000</v>
      </c>
      <c r="N38" s="184" t="str">
        <f t="shared" si="17"/>
        <v>1001</v>
      </c>
      <c r="O38" s="184" t="str">
        <f t="shared" si="17"/>
        <v>0000</v>
      </c>
      <c r="P38" s="184" t="str">
        <f t="shared" si="17"/>
        <v>0100</v>
      </c>
      <c r="Q38" s="184" t="str">
        <f t="shared" si="17"/>
        <v>1011</v>
      </c>
      <c r="R38" s="184" t="str">
        <f t="shared" si="17"/>
        <v>0011</v>
      </c>
      <c r="S38" s="184" t="str">
        <f t="shared" si="17"/>
        <v>0001</v>
      </c>
      <c r="T38" s="184" t="str">
        <f t="shared" si="17"/>
        <v>0001</v>
      </c>
      <c r="U38" s="184" t="str">
        <f t="shared" si="17"/>
        <v>0100</v>
      </c>
      <c r="V38" s="184" t="str">
        <f t="shared" si="17"/>
        <v>0000</v>
      </c>
      <c r="W38" s="184" t="str">
        <f t="shared" si="17"/>
        <v>0000</v>
      </c>
      <c r="X38" s="184" t="str">
        <f t="shared" si="17"/>
        <v>0000</v>
      </c>
      <c r="Y38" s="184" t="str">
        <f t="shared" si="17"/>
        <v>0000</v>
      </c>
      <c r="Z38" s="184" t="str">
        <f t="shared" si="17"/>
        <v>0000</v>
      </c>
      <c r="AA38" s="184" t="str">
        <f t="shared" si="17"/>
        <v>0000</v>
      </c>
      <c r="AB38" s="184" t="str">
        <f t="shared" si="17"/>
        <v>0000</v>
      </c>
      <c r="AC38" s="184" t="str">
        <f t="shared" si="17"/>
        <v>0000</v>
      </c>
      <c r="AD38" s="184" t="str">
        <f t="shared" si="17"/>
        <v>0000</v>
      </c>
      <c r="AE38" s="184" t="str">
        <f t="shared" si="17"/>
        <v>0000</v>
      </c>
      <c r="AF38" s="184" t="str">
        <f t="shared" si="17"/>
        <v>0000</v>
      </c>
      <c r="AG38" s="184" t="str">
        <f t="shared" si="17"/>
        <v>0000</v>
      </c>
      <c r="AH38" s="184" t="str">
        <f t="shared" si="17"/>
        <v>0000</v>
      </c>
      <c r="AI38" s="184" t="str">
        <f t="shared" si="17"/>
        <v>0000</v>
      </c>
      <c r="AJ38" s="184" t="str">
        <f t="shared" si="17"/>
        <v>0000</v>
      </c>
      <c r="AK38" s="184" t="str">
        <f t="shared" si="17"/>
        <v>0000</v>
      </c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39"/>
      <c r="EL38" s="139"/>
      <c r="EM38" s="139"/>
      <c r="EN38" s="139"/>
      <c r="EO38" s="139"/>
      <c r="EP38" s="139"/>
      <c r="EQ38" s="139"/>
      <c r="ER38" s="139"/>
      <c r="ES38" s="139"/>
      <c r="ET38" s="139"/>
      <c r="EU38" s="139"/>
      <c r="EV38" s="139"/>
      <c r="EW38" s="139"/>
      <c r="EX38" s="139"/>
      <c r="EY38" s="139"/>
      <c r="EZ38" s="139"/>
      <c r="FA38" s="139"/>
      <c r="FB38" s="139"/>
      <c r="FC38" s="139"/>
      <c r="FD38" s="139"/>
      <c r="FE38" s="139"/>
      <c r="FF38" s="139"/>
      <c r="FG38" s="139"/>
      <c r="FH38" s="139"/>
      <c r="FI38" s="139"/>
      <c r="FJ38" s="139"/>
      <c r="FK38" s="139"/>
      <c r="FL38" s="139"/>
      <c r="FM38" s="139"/>
      <c r="FN38" s="139"/>
      <c r="FO38" s="139"/>
      <c r="FP38" s="139"/>
      <c r="FQ38" s="139"/>
      <c r="FR38" s="139"/>
      <c r="FS38" s="139"/>
      <c r="FT38" s="139"/>
      <c r="FU38" s="139"/>
      <c r="FV38" s="139"/>
      <c r="FW38" s="139"/>
      <c r="FX38" s="139"/>
      <c r="FY38" s="139"/>
      <c r="FZ38" s="139"/>
      <c r="GA38" s="139"/>
      <c r="GB38" s="139"/>
      <c r="GC38" s="139"/>
      <c r="GD38" s="139"/>
      <c r="GE38" s="139"/>
      <c r="GF38" s="139"/>
      <c r="GG38" s="139"/>
      <c r="GH38" s="139"/>
      <c r="GI38" s="139"/>
      <c r="GJ38" s="139"/>
      <c r="GK38" s="139"/>
      <c r="GL38" s="139"/>
      <c r="GM38" s="139"/>
      <c r="GN38" s="139"/>
      <c r="GO38" s="139"/>
      <c r="GP38" s="139"/>
      <c r="GQ38" s="139"/>
      <c r="GR38" s="139"/>
      <c r="GS38" s="139"/>
      <c r="GT38" s="139"/>
      <c r="GU38" s="139"/>
      <c r="GV38" s="139"/>
      <c r="GW38" s="139"/>
      <c r="GX38" s="139"/>
      <c r="GY38" s="139"/>
      <c r="GZ38" s="139"/>
      <c r="HA38" s="139"/>
      <c r="HB38" s="139"/>
      <c r="HC38" s="139"/>
      <c r="HD38" s="139"/>
      <c r="HE38" s="139"/>
      <c r="HF38" s="139"/>
      <c r="HG38" s="139"/>
      <c r="HH38" s="139"/>
      <c r="HI38" s="139"/>
      <c r="HJ38" s="139"/>
      <c r="HK38" s="139"/>
      <c r="HL38" s="139"/>
      <c r="HM38" s="139"/>
      <c r="HN38" s="139"/>
      <c r="HO38" s="139"/>
      <c r="HP38" s="139"/>
      <c r="HQ38" s="139"/>
      <c r="HR38" s="139"/>
      <c r="HS38" s="139"/>
      <c r="HT38" s="139"/>
      <c r="HU38" s="139"/>
      <c r="HV38" s="139"/>
      <c r="HW38" s="139"/>
      <c r="HX38" s="139"/>
      <c r="HY38" s="139"/>
      <c r="HZ38" s="139"/>
      <c r="IA38" s="139"/>
      <c r="IB38" s="139"/>
      <c r="IC38" s="139"/>
      <c r="ID38" s="139"/>
      <c r="IE38" s="139"/>
      <c r="IF38" s="139"/>
      <c r="IG38" s="139"/>
      <c r="IH38" s="139"/>
      <c r="II38" s="139"/>
      <c r="IJ38" s="139"/>
      <c r="IK38" s="139"/>
      <c r="IL38" s="139"/>
      <c r="IM38" s="139"/>
      <c r="IN38" s="139"/>
      <c r="IO38" s="139"/>
      <c r="IP38" s="139"/>
      <c r="IQ38" s="139"/>
      <c r="IR38" s="139"/>
      <c r="IS38" s="139"/>
      <c r="IT38" s="139"/>
      <c r="IU38" s="139"/>
      <c r="IV38" s="139"/>
      <c r="IW38" s="139"/>
      <c r="IX38" s="139"/>
      <c r="IY38" s="139"/>
      <c r="IZ38" s="139"/>
      <c r="JA38" s="139"/>
      <c r="JB38" s="139"/>
      <c r="JC38" s="139"/>
      <c r="JD38" s="139"/>
      <c r="JE38" s="139"/>
      <c r="JF38" s="139"/>
      <c r="JG38" s="139"/>
      <c r="JH38" s="139"/>
      <c r="JI38" s="139"/>
      <c r="JJ38" s="139"/>
      <c r="JK38" s="139"/>
      <c r="JL38" s="139"/>
      <c r="JM38" s="139"/>
      <c r="JN38" s="139"/>
      <c r="JO38" s="139"/>
      <c r="JP38" s="139"/>
      <c r="JQ38" s="139"/>
      <c r="JR38" s="139"/>
      <c r="JS38" s="139"/>
      <c r="JT38" s="139"/>
      <c r="JU38" s="139"/>
      <c r="JV38" s="139"/>
      <c r="JW38" s="139"/>
      <c r="JX38" s="139"/>
      <c r="JY38" s="139"/>
      <c r="JZ38" s="139"/>
      <c r="KA38" s="139"/>
      <c r="KB38" s="139"/>
      <c r="KC38" s="139"/>
      <c r="KD38" s="139"/>
      <c r="KE38" s="139"/>
      <c r="KF38" s="139"/>
      <c r="KG38" s="139"/>
      <c r="KH38" s="139"/>
      <c r="KI38" s="139"/>
      <c r="KJ38" s="139"/>
      <c r="KK38" s="139"/>
      <c r="KL38" s="139"/>
      <c r="KM38" s="139"/>
      <c r="KN38" s="139"/>
      <c r="KO38" s="139"/>
      <c r="KP38" s="139"/>
      <c r="KQ38" s="139"/>
      <c r="KR38" s="139"/>
      <c r="KS38" s="139"/>
      <c r="KT38" s="139"/>
      <c r="KU38" s="139"/>
      <c r="KV38" s="139"/>
      <c r="KW38" s="139"/>
      <c r="KX38" s="139"/>
      <c r="KY38" s="139"/>
      <c r="KZ38" s="139"/>
      <c r="LA38" s="139"/>
      <c r="LB38" s="139"/>
      <c r="LC38" s="139"/>
      <c r="LD38" s="139"/>
      <c r="LE38" s="139"/>
      <c r="LF38" s="139"/>
      <c r="LG38" s="139"/>
      <c r="LH38" s="139"/>
      <c r="LI38" s="139"/>
      <c r="LJ38" s="139"/>
      <c r="LK38" s="139"/>
      <c r="LL38" s="139"/>
      <c r="LM38" s="139"/>
      <c r="LN38" s="139"/>
      <c r="LO38" s="139"/>
      <c r="LP38" s="139"/>
      <c r="LQ38" s="139"/>
      <c r="LR38" s="139"/>
      <c r="LS38" s="139"/>
      <c r="LT38" s="139"/>
      <c r="LU38" s="139"/>
      <c r="LV38" s="139"/>
      <c r="LW38" s="139"/>
      <c r="LX38" s="139"/>
      <c r="LY38" s="139"/>
      <c r="LZ38" s="139"/>
      <c r="MA38" s="139"/>
      <c r="MB38" s="139"/>
      <c r="MC38" s="139"/>
      <c r="MD38" s="139"/>
      <c r="ME38" s="139"/>
      <c r="MF38" s="139"/>
      <c r="MG38" s="139"/>
      <c r="MH38" s="139"/>
      <c r="MI38" s="139"/>
      <c r="MJ38" s="139"/>
      <c r="MK38" s="139"/>
      <c r="ML38" s="139"/>
      <c r="MM38" s="139"/>
      <c r="MN38" s="139"/>
      <c r="MO38" s="139"/>
      <c r="MP38" s="139"/>
      <c r="MQ38" s="139"/>
      <c r="MR38" s="139"/>
      <c r="MS38" s="139"/>
      <c r="MT38" s="139"/>
      <c r="MU38" s="139"/>
      <c r="MV38" s="139"/>
      <c r="MW38" s="139"/>
      <c r="MX38" s="139"/>
      <c r="MY38" s="139"/>
      <c r="MZ38" s="139"/>
      <c r="NA38" s="139"/>
      <c r="NB38" s="139"/>
      <c r="NC38" s="139"/>
      <c r="ND38" s="139"/>
      <c r="NE38" s="139"/>
      <c r="NF38" s="139"/>
      <c r="NG38" s="139"/>
      <c r="NH38" s="139"/>
      <c r="NI38" s="139"/>
      <c r="NJ38" s="139"/>
      <c r="NK38" s="139"/>
      <c r="NL38" s="139"/>
      <c r="NM38" s="139"/>
      <c r="NN38" s="139"/>
      <c r="NO38" s="139"/>
      <c r="NP38" s="139"/>
      <c r="NQ38" s="139"/>
      <c r="NR38" s="139"/>
      <c r="NS38" s="139"/>
      <c r="NT38" s="139"/>
      <c r="NU38" s="139"/>
      <c r="NV38" s="139"/>
      <c r="NW38" s="139"/>
      <c r="NX38" s="139"/>
      <c r="NY38" s="139"/>
      <c r="NZ38" s="139"/>
      <c r="OA38" s="139"/>
      <c r="OB38" s="139"/>
      <c r="OC38" s="139"/>
      <c r="OD38" s="139"/>
      <c r="OE38" s="139"/>
      <c r="OF38" s="139"/>
      <c r="OG38" s="139"/>
      <c r="OH38" s="139"/>
      <c r="OI38" s="139"/>
      <c r="OJ38" s="139"/>
      <c r="OK38" s="139"/>
      <c r="OL38" s="139"/>
      <c r="OM38" s="139"/>
      <c r="ON38" s="139"/>
      <c r="OO38" s="139"/>
      <c r="OP38" s="139"/>
      <c r="OQ38" s="139"/>
      <c r="OR38" s="139"/>
      <c r="OS38" s="139"/>
      <c r="OT38" s="139"/>
      <c r="OU38" s="139"/>
      <c r="OV38" s="139"/>
      <c r="OW38" s="139"/>
      <c r="OX38" s="139"/>
      <c r="OY38" s="139"/>
      <c r="OZ38" s="139"/>
      <c r="PA38" s="139"/>
      <c r="PB38" s="139"/>
      <c r="PC38" s="139"/>
      <c r="PD38" s="139"/>
      <c r="PE38" s="139"/>
      <c r="PF38" s="139"/>
      <c r="PG38" s="139"/>
      <c r="PH38" s="139"/>
      <c r="PI38" s="139"/>
      <c r="PJ38" s="139"/>
      <c r="PK38" s="139"/>
      <c r="PL38" s="139"/>
      <c r="PM38" s="139"/>
      <c r="PN38" s="139"/>
      <c r="PO38" s="139"/>
      <c r="PP38" s="139"/>
      <c r="PQ38" s="139"/>
      <c r="PR38" s="139"/>
      <c r="PS38" s="139"/>
      <c r="PT38" s="139"/>
      <c r="PU38" s="139"/>
      <c r="PV38" s="139"/>
      <c r="PW38" s="139"/>
      <c r="PX38" s="139"/>
      <c r="PY38" s="139"/>
      <c r="PZ38" s="139"/>
      <c r="QA38" s="139"/>
      <c r="QB38" s="139"/>
      <c r="QC38" s="139"/>
      <c r="QD38" s="139"/>
      <c r="QE38" s="139"/>
      <c r="QF38" s="139"/>
      <c r="QG38" s="139"/>
      <c r="QH38" s="139"/>
      <c r="QI38" s="139"/>
      <c r="QJ38" s="139"/>
      <c r="QK38" s="139"/>
      <c r="QL38" s="139"/>
      <c r="QM38" s="139"/>
      <c r="QN38" s="139"/>
      <c r="QO38" s="139"/>
      <c r="QP38" s="139"/>
      <c r="QQ38" s="139"/>
      <c r="QR38" s="139"/>
      <c r="QS38" s="139"/>
      <c r="QT38" s="139"/>
      <c r="QU38" s="139"/>
      <c r="QV38" s="139"/>
      <c r="QW38" s="139"/>
      <c r="QX38" s="139"/>
      <c r="QY38" s="139"/>
      <c r="QZ38" s="139"/>
      <c r="RA38" s="139"/>
      <c r="RB38" s="139"/>
      <c r="RC38" s="139"/>
      <c r="RD38" s="139"/>
      <c r="RE38" s="139"/>
      <c r="RF38" s="139"/>
      <c r="RG38" s="139"/>
      <c r="RH38" s="139"/>
      <c r="RI38" s="139"/>
      <c r="RJ38" s="139"/>
      <c r="RK38" s="139"/>
      <c r="RL38" s="139"/>
      <c r="RM38" s="139"/>
      <c r="RN38" s="139"/>
      <c r="RO38" s="139"/>
      <c r="RP38" s="139"/>
      <c r="RQ38" s="139"/>
      <c r="RR38" s="139"/>
      <c r="RS38" s="139"/>
      <c r="RT38" s="139"/>
      <c r="RU38" s="139"/>
      <c r="RV38" s="139"/>
      <c r="RW38" s="139"/>
      <c r="RX38" s="139"/>
      <c r="RY38" s="139"/>
      <c r="RZ38" s="139"/>
      <c r="SA38" s="139"/>
      <c r="SB38" s="139"/>
      <c r="SC38" s="139"/>
      <c r="SD38" s="139"/>
      <c r="SE38" s="139"/>
      <c r="SF38" s="139"/>
      <c r="SG38" s="139"/>
      <c r="SH38" s="139"/>
      <c r="SI38" s="139"/>
      <c r="SJ38" s="139"/>
      <c r="SK38" s="139"/>
      <c r="SL38" s="139"/>
      <c r="SM38" s="139"/>
      <c r="SN38" s="139"/>
      <c r="SO38" s="139"/>
      <c r="SP38" s="139"/>
      <c r="SQ38" s="139"/>
      <c r="SR38" s="139"/>
      <c r="SS38" s="139"/>
      <c r="ST38" s="139"/>
      <c r="SU38" s="139"/>
      <c r="SV38" s="139"/>
      <c r="SW38" s="139"/>
      <c r="SX38" s="139"/>
      <c r="SY38" s="139"/>
      <c r="SZ38" s="139"/>
      <c r="TA38" s="139"/>
      <c r="TB38" s="139"/>
      <c r="TC38" s="139"/>
      <c r="TD38" s="139"/>
      <c r="TE38" s="139"/>
      <c r="TF38" s="139"/>
      <c r="TG38" s="139"/>
      <c r="TH38" s="139"/>
      <c r="TI38" s="139"/>
      <c r="TJ38" s="139"/>
      <c r="TK38" s="139"/>
      <c r="TL38" s="139"/>
      <c r="TM38" s="139"/>
      <c r="TN38" s="139"/>
      <c r="TO38" s="139"/>
      <c r="TP38" s="139"/>
      <c r="TQ38" s="139"/>
      <c r="TR38" s="139"/>
      <c r="TS38" s="139"/>
      <c r="TT38" s="139"/>
      <c r="TU38" s="139"/>
      <c r="TV38" s="139"/>
      <c r="TW38" s="139"/>
      <c r="TX38" s="139"/>
      <c r="TY38" s="139"/>
      <c r="TZ38" s="139"/>
      <c r="UA38" s="139"/>
      <c r="UB38" s="139"/>
      <c r="UC38" s="139"/>
      <c r="UD38" s="139"/>
      <c r="UE38" s="139"/>
      <c r="UF38" s="139"/>
      <c r="UG38" s="139"/>
      <c r="UH38" s="139"/>
      <c r="UI38" s="139"/>
      <c r="UJ38" s="139"/>
      <c r="UK38" s="139"/>
      <c r="UL38" s="139"/>
      <c r="UM38" s="139"/>
      <c r="UN38" s="139"/>
      <c r="UO38" s="139"/>
      <c r="UP38" s="139"/>
      <c r="UQ38" s="139"/>
      <c r="UR38" s="139"/>
      <c r="US38" s="139"/>
      <c r="UT38" s="139"/>
      <c r="UU38" s="139"/>
      <c r="UV38" s="139"/>
      <c r="UW38" s="139"/>
      <c r="UX38" s="139"/>
      <c r="UY38" s="139"/>
      <c r="UZ38" s="139"/>
      <c r="VA38" s="139"/>
      <c r="VB38" s="139"/>
      <c r="VC38" s="139"/>
      <c r="VD38" s="139"/>
      <c r="VE38" s="139"/>
      <c r="VF38" s="139"/>
      <c r="VG38" s="139"/>
      <c r="VH38" s="139"/>
      <c r="VI38" s="139"/>
      <c r="VJ38" s="139"/>
      <c r="VK38" s="139"/>
      <c r="VL38" s="139"/>
      <c r="VM38" s="139"/>
      <c r="VN38" s="139"/>
      <c r="VO38" s="139"/>
      <c r="VP38" s="139"/>
      <c r="VQ38" s="139"/>
      <c r="VR38" s="139"/>
      <c r="VS38" s="139"/>
      <c r="VT38" s="139"/>
      <c r="VU38" s="139"/>
      <c r="VV38" s="139"/>
      <c r="VW38" s="139"/>
      <c r="VX38" s="139"/>
      <c r="VY38" s="139"/>
      <c r="VZ38" s="139"/>
      <c r="WA38" s="139"/>
      <c r="WB38" s="139"/>
      <c r="WC38" s="139"/>
      <c r="WD38" s="139"/>
      <c r="WE38" s="139"/>
      <c r="WF38" s="139"/>
      <c r="WG38" s="139"/>
      <c r="WH38" s="139"/>
      <c r="WI38" s="139"/>
      <c r="WJ38" s="139"/>
      <c r="WK38" s="139"/>
      <c r="WL38" s="139"/>
      <c r="WM38" s="139"/>
      <c r="WN38" s="139"/>
      <c r="WO38" s="139"/>
      <c r="WP38" s="139"/>
      <c r="WQ38" s="139"/>
      <c r="WR38" s="139"/>
      <c r="WS38" s="139"/>
      <c r="WT38" s="139"/>
      <c r="WU38" s="139"/>
      <c r="WV38" s="139"/>
      <c r="WW38" s="139"/>
      <c r="WX38" s="139"/>
      <c r="WY38" s="139"/>
      <c r="WZ38" s="139"/>
      <c r="XA38" s="139"/>
      <c r="XB38" s="139"/>
      <c r="XC38" s="139"/>
      <c r="XD38" s="139"/>
      <c r="XE38" s="139"/>
      <c r="XF38" s="139"/>
      <c r="XG38" s="139"/>
      <c r="XH38" s="139"/>
      <c r="XI38" s="139"/>
      <c r="XJ38" s="139"/>
      <c r="XK38" s="139"/>
      <c r="XL38" s="139"/>
      <c r="XM38" s="139"/>
      <c r="XN38" s="139"/>
      <c r="XO38" s="139"/>
      <c r="XP38" s="139"/>
      <c r="XQ38" s="139"/>
      <c r="XR38" s="139"/>
      <c r="XS38" s="139"/>
      <c r="XT38" s="139"/>
      <c r="XU38" s="139"/>
      <c r="XV38" s="139"/>
      <c r="XW38" s="139"/>
      <c r="XX38" s="139"/>
      <c r="XY38" s="139"/>
      <c r="XZ38" s="139"/>
      <c r="YA38" s="139"/>
      <c r="YB38" s="139"/>
      <c r="YC38" s="139"/>
      <c r="YD38" s="139"/>
      <c r="YE38" s="139"/>
      <c r="YF38" s="139"/>
      <c r="YG38" s="139"/>
      <c r="YH38" s="139"/>
      <c r="YI38" s="139"/>
      <c r="YJ38" s="139"/>
      <c r="YK38" s="139"/>
      <c r="YL38" s="139"/>
      <c r="YM38" s="139"/>
      <c r="YN38" s="139"/>
      <c r="YO38" s="139"/>
      <c r="YP38" s="139"/>
      <c r="YQ38" s="139"/>
      <c r="YR38" s="139"/>
      <c r="YS38" s="139"/>
      <c r="YT38" s="139"/>
      <c r="YU38" s="139"/>
      <c r="YV38" s="139"/>
      <c r="YW38" s="139"/>
      <c r="YX38" s="139"/>
      <c r="YY38" s="139"/>
      <c r="YZ38" s="139"/>
      <c r="ZA38" s="139"/>
      <c r="ZB38" s="139"/>
      <c r="ZC38" s="139"/>
      <c r="ZD38" s="139"/>
      <c r="ZE38" s="139"/>
      <c r="ZF38" s="139"/>
      <c r="ZG38" s="139"/>
      <c r="ZH38" s="139"/>
      <c r="ZI38" s="139"/>
      <c r="ZJ38" s="139"/>
      <c r="ZK38" s="139"/>
      <c r="ZL38" s="139"/>
      <c r="ZM38" s="139"/>
      <c r="ZN38" s="139"/>
      <c r="ZO38" s="139"/>
      <c r="ZP38" s="139"/>
      <c r="ZQ38" s="139"/>
      <c r="ZR38" s="139"/>
      <c r="ZS38" s="139"/>
      <c r="ZT38" s="139"/>
      <c r="ZU38" s="139"/>
      <c r="ZV38" s="139"/>
      <c r="ZW38" s="139"/>
      <c r="ZX38" s="139"/>
      <c r="ZY38" s="139"/>
      <c r="ZZ38" s="139"/>
      <c r="AAA38" s="139"/>
      <c r="AAB38" s="139"/>
      <c r="AAC38" s="139"/>
      <c r="AAD38" s="139"/>
      <c r="AAE38" s="139"/>
      <c r="AAF38" s="139"/>
      <c r="AAG38" s="139"/>
      <c r="AAH38" s="139"/>
      <c r="AAI38" s="139"/>
      <c r="AAJ38" s="139"/>
      <c r="AAK38" s="139"/>
      <c r="AAL38" s="139"/>
      <c r="AAM38" s="139"/>
      <c r="AAN38" s="139"/>
      <c r="AAO38" s="139"/>
      <c r="AAP38" s="139"/>
      <c r="AAQ38" s="139"/>
      <c r="AAR38" s="139"/>
      <c r="AAS38" s="139"/>
      <c r="AAT38" s="139"/>
      <c r="AAU38" s="139"/>
      <c r="AAV38" s="139"/>
      <c r="AAW38" s="139"/>
      <c r="AAX38" s="139"/>
      <c r="AAY38" s="139"/>
      <c r="AAZ38" s="139"/>
      <c r="ABA38" s="139"/>
      <c r="ABB38" s="139"/>
      <c r="ABC38" s="139"/>
      <c r="ABD38" s="139"/>
      <c r="ABE38" s="139"/>
      <c r="ABF38" s="139"/>
      <c r="ABG38" s="139"/>
      <c r="ABH38" s="139"/>
      <c r="ABI38" s="139"/>
      <c r="ABJ38" s="139"/>
      <c r="ABK38" s="139"/>
      <c r="ABL38" s="139"/>
      <c r="ABM38" s="139"/>
      <c r="ABN38" s="139"/>
      <c r="ABO38" s="139"/>
      <c r="ABP38" s="139"/>
      <c r="ABQ38" s="139"/>
      <c r="ABR38" s="139"/>
      <c r="ABS38" s="139"/>
      <c r="ABT38" s="139"/>
      <c r="ABU38" s="139"/>
      <c r="ABV38" s="139"/>
      <c r="ABW38" s="139"/>
      <c r="ABX38" s="139"/>
      <c r="ABY38" s="139"/>
      <c r="ABZ38" s="139"/>
      <c r="ACA38" s="139"/>
      <c r="ACB38" s="139"/>
      <c r="ACC38" s="139"/>
      <c r="ACD38" s="139"/>
      <c r="ACE38" s="139"/>
      <c r="ACF38" s="139"/>
      <c r="ACG38" s="139"/>
      <c r="ACH38" s="139"/>
      <c r="ACI38" s="139"/>
      <c r="ACJ38" s="139"/>
      <c r="ACK38" s="139"/>
      <c r="ACL38" s="139"/>
      <c r="ACM38" s="139"/>
      <c r="ACN38" s="139"/>
      <c r="ACO38" s="139"/>
      <c r="ACP38" s="139"/>
      <c r="ACQ38" s="139"/>
      <c r="ACR38" s="139"/>
      <c r="ACS38" s="139"/>
      <c r="ACT38" s="139"/>
      <c r="ACU38" s="139"/>
      <c r="ACV38" s="139"/>
      <c r="ACW38" s="139"/>
      <c r="ACX38" s="139"/>
      <c r="ACY38" s="139"/>
      <c r="ACZ38" s="139"/>
      <c r="ADA38" s="139"/>
      <c r="ADB38" s="139"/>
      <c r="ADC38" s="139"/>
      <c r="ADD38" s="139"/>
      <c r="ADE38" s="139"/>
      <c r="ADF38" s="139"/>
      <c r="ADG38" s="139"/>
      <c r="ADH38" s="139"/>
      <c r="ADI38" s="139"/>
      <c r="ADJ38" s="139"/>
      <c r="ADK38" s="139"/>
      <c r="ADL38" s="139"/>
      <c r="ADM38" s="139"/>
      <c r="ADN38" s="139"/>
      <c r="ADO38" s="139"/>
      <c r="ADP38" s="139"/>
      <c r="ADQ38" s="139"/>
      <c r="ADR38" s="139"/>
      <c r="ADS38" s="139"/>
      <c r="ADT38" s="139"/>
      <c r="ADU38" s="139"/>
      <c r="ADV38" s="139"/>
      <c r="ADW38" s="139"/>
      <c r="ADX38" s="139"/>
      <c r="ADY38" s="139"/>
      <c r="ADZ38" s="139"/>
      <c r="AEA38" s="139"/>
      <c r="AEB38" s="139"/>
      <c r="AEC38" s="139"/>
      <c r="AED38" s="139"/>
      <c r="AEE38" s="139"/>
      <c r="AEF38" s="139"/>
      <c r="AEG38" s="139"/>
      <c r="AEH38" s="139"/>
      <c r="AEI38" s="139"/>
      <c r="AEJ38" s="139"/>
      <c r="AEK38" s="139"/>
      <c r="AEL38" s="139"/>
      <c r="AEM38" s="139"/>
      <c r="AEN38" s="139"/>
      <c r="AEO38" s="139"/>
      <c r="AEP38" s="139"/>
      <c r="AEQ38" s="139"/>
      <c r="AER38" s="139"/>
      <c r="AES38" s="139"/>
      <c r="AET38" s="139"/>
      <c r="AEU38" s="139"/>
      <c r="AEV38" s="139"/>
      <c r="AEW38" s="139"/>
      <c r="AEX38" s="139"/>
      <c r="AEY38" s="139"/>
      <c r="AEZ38" s="139"/>
      <c r="AFA38" s="139"/>
      <c r="AFB38" s="139"/>
      <c r="AFC38" s="139"/>
      <c r="AFD38" s="139"/>
      <c r="AFE38" s="139"/>
      <c r="AFF38" s="139"/>
      <c r="AFG38" s="139"/>
      <c r="AFH38" s="139"/>
      <c r="AFI38" s="139"/>
      <c r="AFJ38" s="139"/>
      <c r="AFK38" s="139"/>
      <c r="AFL38" s="139"/>
      <c r="AFM38" s="139"/>
      <c r="AFN38" s="139"/>
      <c r="AFO38" s="139"/>
      <c r="AFP38" s="139"/>
      <c r="AFQ38" s="139"/>
      <c r="AFR38" s="139"/>
      <c r="AFS38" s="139"/>
      <c r="AFT38" s="139"/>
      <c r="AFU38" s="139"/>
      <c r="AFV38" s="139"/>
      <c r="AFW38" s="139"/>
      <c r="AFX38" s="139"/>
      <c r="AFY38" s="139"/>
      <c r="AFZ38" s="139"/>
      <c r="AGA38" s="139"/>
      <c r="AGB38" s="139"/>
      <c r="AGC38" s="139"/>
      <c r="AGD38" s="139"/>
      <c r="AGE38" s="139"/>
      <c r="AGF38" s="139"/>
      <c r="AGG38" s="139"/>
      <c r="AGH38" s="139"/>
      <c r="AGI38" s="139"/>
      <c r="AGJ38" s="139"/>
      <c r="AGK38" s="139"/>
      <c r="AGL38" s="139"/>
      <c r="AGM38" s="139"/>
      <c r="AGN38" s="139"/>
      <c r="AGO38" s="139"/>
      <c r="AGP38" s="139"/>
      <c r="AGQ38" s="139"/>
      <c r="AGR38" s="139"/>
      <c r="AGS38" s="139"/>
      <c r="AGT38" s="139"/>
      <c r="AGU38" s="139"/>
      <c r="AGV38" s="139"/>
      <c r="AGW38" s="139"/>
      <c r="AGX38" s="139"/>
      <c r="AGY38" s="139"/>
      <c r="AGZ38" s="139"/>
      <c r="AHA38" s="139"/>
      <c r="AHB38" s="139"/>
      <c r="AHC38" s="139"/>
      <c r="AHD38" s="139"/>
      <c r="AHE38" s="139"/>
      <c r="AHF38" s="139"/>
      <c r="AHG38" s="139"/>
      <c r="AHH38" s="139"/>
      <c r="AHI38" s="139"/>
      <c r="AHJ38" s="139"/>
      <c r="AHK38" s="139"/>
      <c r="AHL38" s="139"/>
      <c r="AHM38" s="139"/>
      <c r="AHN38" s="139"/>
      <c r="AHO38" s="139"/>
      <c r="AHP38" s="139"/>
      <c r="AHQ38" s="139"/>
      <c r="AHR38" s="139"/>
      <c r="AHS38" s="139"/>
      <c r="AHT38" s="139"/>
      <c r="AHU38" s="139"/>
      <c r="AHV38" s="139"/>
      <c r="AHW38" s="139"/>
      <c r="AHX38" s="139"/>
      <c r="AHY38" s="139"/>
      <c r="AHZ38" s="139"/>
      <c r="AIA38" s="139"/>
      <c r="AIB38" s="139"/>
      <c r="AIC38" s="139"/>
      <c r="AID38" s="139"/>
      <c r="AIE38" s="139"/>
      <c r="AIF38" s="139"/>
      <c r="AIG38" s="139"/>
      <c r="AIH38" s="139"/>
      <c r="AII38" s="139"/>
      <c r="AIJ38" s="139"/>
      <c r="AIK38" s="139"/>
      <c r="AIL38" s="139"/>
      <c r="AIM38" s="139"/>
      <c r="AIN38" s="139"/>
      <c r="AIO38" s="139"/>
      <c r="AIP38" s="139"/>
      <c r="AIQ38" s="139"/>
      <c r="AIR38" s="139"/>
      <c r="AIS38" s="139"/>
      <c r="AIT38" s="139"/>
      <c r="AIU38" s="139"/>
      <c r="AIV38" s="139"/>
      <c r="AIW38" s="139"/>
      <c r="AIX38" s="139"/>
      <c r="AIY38" s="139"/>
      <c r="AIZ38" s="139"/>
      <c r="AJA38" s="139"/>
      <c r="AJB38" s="139"/>
      <c r="AJC38" s="139"/>
      <c r="AJD38" s="139"/>
      <c r="AJE38" s="139"/>
      <c r="AJF38" s="139"/>
      <c r="AJG38" s="139"/>
      <c r="AJH38" s="139"/>
      <c r="AJI38" s="139"/>
      <c r="AJJ38" s="139"/>
      <c r="AJK38" s="139"/>
      <c r="AJL38" s="139"/>
      <c r="AJM38" s="139"/>
      <c r="AJN38" s="139"/>
      <c r="AJO38" s="139"/>
      <c r="AJP38" s="139"/>
      <c r="AJQ38" s="139"/>
      <c r="AJR38" s="139"/>
      <c r="AJS38" s="139"/>
      <c r="AJT38" s="139"/>
      <c r="AJU38" s="139"/>
      <c r="AJV38" s="139"/>
      <c r="AJW38" s="139"/>
      <c r="AJX38" s="139"/>
      <c r="AJY38" s="139"/>
      <c r="AJZ38" s="139"/>
      <c r="AKA38" s="139"/>
      <c r="AKB38" s="139"/>
      <c r="AKC38" s="139"/>
      <c r="AKD38" s="139"/>
      <c r="AKE38" s="139"/>
      <c r="AKF38" s="139"/>
      <c r="AKG38" s="139"/>
      <c r="AKH38" s="139"/>
      <c r="AKI38" s="139"/>
      <c r="AKJ38" s="139"/>
      <c r="AKK38" s="139"/>
      <c r="AKL38" s="139"/>
      <c r="AKM38" s="139"/>
      <c r="AKN38" s="139"/>
      <c r="AKO38" s="139"/>
      <c r="AKP38" s="139"/>
      <c r="AKQ38" s="139"/>
      <c r="AKR38" s="139"/>
      <c r="AKS38" s="139"/>
      <c r="AKT38" s="139"/>
      <c r="AKU38" s="139"/>
      <c r="AKV38" s="139"/>
      <c r="AKW38" s="139"/>
      <c r="AKX38" s="139"/>
      <c r="AKY38" s="139"/>
      <c r="AKZ38" s="139"/>
      <c r="ALA38" s="139"/>
      <c r="ALB38" s="139"/>
      <c r="ALC38" s="139"/>
      <c r="ALD38" s="139"/>
      <c r="ALE38" s="139"/>
      <c r="ALF38" s="139"/>
      <c r="ALG38" s="139"/>
      <c r="ALH38" s="139"/>
      <c r="ALI38" s="139"/>
      <c r="ALJ38" s="139"/>
      <c r="ALK38" s="139"/>
      <c r="ALL38" s="139"/>
      <c r="ALM38" s="139"/>
      <c r="ALN38" s="139"/>
      <c r="ALO38" s="139"/>
      <c r="ALP38" s="139"/>
      <c r="ALQ38" s="139"/>
      <c r="ALR38" s="139"/>
      <c r="ALS38" s="139"/>
      <c r="ALT38" s="139"/>
      <c r="ALU38" s="139"/>
      <c r="ALV38" s="139"/>
      <c r="ALW38" s="139"/>
      <c r="ALX38" s="139"/>
      <c r="ALY38" s="139"/>
      <c r="ALZ38" s="139"/>
      <c r="AMA38" s="139"/>
      <c r="AMB38" s="139"/>
      <c r="AMC38" s="139"/>
      <c r="AMD38" s="139"/>
      <c r="AME38" s="139"/>
      <c r="AMF38" s="139"/>
      <c r="AMG38" s="139"/>
      <c r="AMH38" s="139"/>
      <c r="AMI38" s="139"/>
      <c r="AMJ38" s="139"/>
    </row>
    <row r="39" spans="1:1024" s="140" customFormat="1" x14ac:dyDescent="0.25">
      <c r="A39" s="139"/>
      <c r="B39" s="139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39"/>
      <c r="EL39" s="139"/>
      <c r="EM39" s="139"/>
      <c r="EN39" s="139"/>
      <c r="EO39" s="139"/>
      <c r="EP39" s="139"/>
      <c r="EQ39" s="139"/>
      <c r="ER39" s="139"/>
      <c r="ES39" s="139"/>
      <c r="ET39" s="139"/>
      <c r="EU39" s="139"/>
      <c r="EV39" s="139"/>
      <c r="EW39" s="139"/>
      <c r="EX39" s="139"/>
      <c r="EY39" s="139"/>
      <c r="EZ39" s="139"/>
      <c r="FA39" s="139"/>
      <c r="FB39" s="139"/>
      <c r="FC39" s="139"/>
      <c r="FD39" s="139"/>
      <c r="FE39" s="139"/>
      <c r="FF39" s="139"/>
      <c r="FG39" s="139"/>
      <c r="FH39" s="139"/>
      <c r="FI39" s="139"/>
      <c r="FJ39" s="139"/>
      <c r="FK39" s="139"/>
      <c r="FL39" s="139"/>
      <c r="FM39" s="139"/>
      <c r="FN39" s="139"/>
      <c r="FO39" s="139"/>
      <c r="FP39" s="139"/>
      <c r="FQ39" s="139"/>
      <c r="FR39" s="139"/>
      <c r="FS39" s="139"/>
      <c r="FT39" s="139"/>
      <c r="FU39" s="139"/>
      <c r="FV39" s="139"/>
      <c r="FW39" s="139"/>
      <c r="FX39" s="139"/>
      <c r="FY39" s="139"/>
      <c r="FZ39" s="139"/>
      <c r="GA39" s="139"/>
      <c r="GB39" s="139"/>
      <c r="GC39" s="139"/>
      <c r="GD39" s="139"/>
      <c r="GE39" s="139"/>
      <c r="GF39" s="139"/>
      <c r="GG39" s="139"/>
      <c r="GH39" s="139"/>
      <c r="GI39" s="139"/>
      <c r="GJ39" s="139"/>
      <c r="GK39" s="139"/>
      <c r="GL39" s="139"/>
      <c r="GM39" s="139"/>
      <c r="GN39" s="139"/>
      <c r="GO39" s="139"/>
      <c r="GP39" s="139"/>
      <c r="GQ39" s="139"/>
      <c r="GR39" s="139"/>
      <c r="GS39" s="139"/>
      <c r="GT39" s="139"/>
      <c r="GU39" s="139"/>
      <c r="GV39" s="139"/>
      <c r="GW39" s="139"/>
      <c r="GX39" s="139"/>
      <c r="GY39" s="139"/>
      <c r="GZ39" s="139"/>
      <c r="HA39" s="139"/>
      <c r="HB39" s="139"/>
      <c r="HC39" s="139"/>
      <c r="HD39" s="139"/>
      <c r="HE39" s="139"/>
      <c r="HF39" s="139"/>
      <c r="HG39" s="139"/>
      <c r="HH39" s="139"/>
      <c r="HI39" s="139"/>
      <c r="HJ39" s="139"/>
      <c r="HK39" s="139"/>
      <c r="HL39" s="139"/>
      <c r="HM39" s="139"/>
      <c r="HN39" s="139"/>
      <c r="HO39" s="139"/>
      <c r="HP39" s="139"/>
      <c r="HQ39" s="139"/>
      <c r="HR39" s="139"/>
      <c r="HS39" s="139"/>
      <c r="HT39" s="139"/>
      <c r="HU39" s="139"/>
      <c r="HV39" s="139"/>
      <c r="HW39" s="139"/>
      <c r="HX39" s="139"/>
      <c r="HY39" s="139"/>
      <c r="HZ39" s="139"/>
      <c r="IA39" s="139"/>
      <c r="IB39" s="139"/>
      <c r="IC39" s="139"/>
      <c r="ID39" s="139"/>
      <c r="IE39" s="139"/>
      <c r="IF39" s="139"/>
      <c r="IG39" s="139"/>
      <c r="IH39" s="139"/>
      <c r="II39" s="139"/>
      <c r="IJ39" s="139"/>
      <c r="IK39" s="139"/>
      <c r="IL39" s="139"/>
      <c r="IM39" s="139"/>
      <c r="IN39" s="139"/>
      <c r="IO39" s="139"/>
      <c r="IP39" s="139"/>
      <c r="IQ39" s="139"/>
      <c r="IR39" s="139"/>
      <c r="IS39" s="139"/>
      <c r="IT39" s="139"/>
      <c r="IU39" s="139"/>
      <c r="IV39" s="139"/>
      <c r="IW39" s="139"/>
      <c r="IX39" s="139"/>
      <c r="IY39" s="139"/>
      <c r="IZ39" s="139"/>
      <c r="JA39" s="139"/>
      <c r="JB39" s="139"/>
      <c r="JC39" s="139"/>
      <c r="JD39" s="139"/>
      <c r="JE39" s="139"/>
      <c r="JF39" s="139"/>
      <c r="JG39" s="139"/>
      <c r="JH39" s="139"/>
      <c r="JI39" s="139"/>
      <c r="JJ39" s="139"/>
      <c r="JK39" s="139"/>
      <c r="JL39" s="139"/>
      <c r="JM39" s="139"/>
      <c r="JN39" s="139"/>
      <c r="JO39" s="139"/>
      <c r="JP39" s="139"/>
      <c r="JQ39" s="139"/>
      <c r="JR39" s="139"/>
      <c r="JS39" s="139"/>
      <c r="JT39" s="139"/>
      <c r="JU39" s="139"/>
      <c r="JV39" s="139"/>
      <c r="JW39" s="139"/>
      <c r="JX39" s="139"/>
      <c r="JY39" s="139"/>
      <c r="JZ39" s="139"/>
      <c r="KA39" s="139"/>
      <c r="KB39" s="139"/>
      <c r="KC39" s="139"/>
      <c r="KD39" s="139"/>
      <c r="KE39" s="139"/>
      <c r="KF39" s="139"/>
      <c r="KG39" s="139"/>
      <c r="KH39" s="139"/>
      <c r="KI39" s="139"/>
      <c r="KJ39" s="139"/>
      <c r="KK39" s="139"/>
      <c r="KL39" s="139"/>
      <c r="KM39" s="139"/>
      <c r="KN39" s="139"/>
      <c r="KO39" s="139"/>
      <c r="KP39" s="139"/>
      <c r="KQ39" s="139"/>
      <c r="KR39" s="139"/>
      <c r="KS39" s="139"/>
      <c r="KT39" s="139"/>
      <c r="KU39" s="139"/>
      <c r="KV39" s="139"/>
      <c r="KW39" s="139"/>
      <c r="KX39" s="139"/>
      <c r="KY39" s="139"/>
      <c r="KZ39" s="139"/>
      <c r="LA39" s="139"/>
      <c r="LB39" s="139"/>
      <c r="LC39" s="139"/>
      <c r="LD39" s="139"/>
      <c r="LE39" s="139"/>
      <c r="LF39" s="139"/>
      <c r="LG39" s="139"/>
      <c r="LH39" s="139"/>
      <c r="LI39" s="139"/>
      <c r="LJ39" s="139"/>
      <c r="LK39" s="139"/>
      <c r="LL39" s="139"/>
      <c r="LM39" s="139"/>
      <c r="LN39" s="139"/>
      <c r="LO39" s="139"/>
      <c r="LP39" s="139"/>
      <c r="LQ39" s="139"/>
      <c r="LR39" s="139"/>
      <c r="LS39" s="139"/>
      <c r="LT39" s="139"/>
      <c r="LU39" s="139"/>
      <c r="LV39" s="139"/>
      <c r="LW39" s="139"/>
      <c r="LX39" s="139"/>
      <c r="LY39" s="139"/>
      <c r="LZ39" s="139"/>
      <c r="MA39" s="139"/>
      <c r="MB39" s="139"/>
      <c r="MC39" s="139"/>
      <c r="MD39" s="139"/>
      <c r="ME39" s="139"/>
      <c r="MF39" s="139"/>
      <c r="MG39" s="139"/>
      <c r="MH39" s="139"/>
      <c r="MI39" s="139"/>
      <c r="MJ39" s="139"/>
      <c r="MK39" s="139"/>
      <c r="ML39" s="139"/>
      <c r="MM39" s="139"/>
      <c r="MN39" s="139"/>
      <c r="MO39" s="139"/>
      <c r="MP39" s="139"/>
      <c r="MQ39" s="139"/>
      <c r="MR39" s="139"/>
      <c r="MS39" s="139"/>
      <c r="MT39" s="139"/>
      <c r="MU39" s="139"/>
      <c r="MV39" s="139"/>
      <c r="MW39" s="139"/>
      <c r="MX39" s="139"/>
      <c r="MY39" s="139"/>
      <c r="MZ39" s="139"/>
      <c r="NA39" s="139"/>
      <c r="NB39" s="139"/>
      <c r="NC39" s="139"/>
      <c r="ND39" s="139"/>
      <c r="NE39" s="139"/>
      <c r="NF39" s="139"/>
      <c r="NG39" s="139"/>
      <c r="NH39" s="139"/>
      <c r="NI39" s="139"/>
      <c r="NJ39" s="139"/>
      <c r="NK39" s="139"/>
      <c r="NL39" s="139"/>
      <c r="NM39" s="139"/>
      <c r="NN39" s="139"/>
      <c r="NO39" s="139"/>
      <c r="NP39" s="139"/>
      <c r="NQ39" s="139"/>
      <c r="NR39" s="139"/>
      <c r="NS39" s="139"/>
      <c r="NT39" s="139"/>
      <c r="NU39" s="139"/>
      <c r="NV39" s="139"/>
      <c r="NW39" s="139"/>
      <c r="NX39" s="139"/>
      <c r="NY39" s="139"/>
      <c r="NZ39" s="139"/>
      <c r="OA39" s="139"/>
      <c r="OB39" s="139"/>
      <c r="OC39" s="139"/>
      <c r="OD39" s="139"/>
      <c r="OE39" s="139"/>
      <c r="OF39" s="139"/>
      <c r="OG39" s="139"/>
      <c r="OH39" s="139"/>
      <c r="OI39" s="139"/>
      <c r="OJ39" s="139"/>
      <c r="OK39" s="139"/>
      <c r="OL39" s="139"/>
      <c r="OM39" s="139"/>
      <c r="ON39" s="139"/>
      <c r="OO39" s="139"/>
      <c r="OP39" s="139"/>
      <c r="OQ39" s="139"/>
      <c r="OR39" s="139"/>
      <c r="OS39" s="139"/>
      <c r="OT39" s="139"/>
      <c r="OU39" s="139"/>
      <c r="OV39" s="139"/>
      <c r="OW39" s="139"/>
      <c r="OX39" s="139"/>
      <c r="OY39" s="139"/>
      <c r="OZ39" s="139"/>
      <c r="PA39" s="139"/>
      <c r="PB39" s="139"/>
      <c r="PC39" s="139"/>
      <c r="PD39" s="139"/>
      <c r="PE39" s="139"/>
      <c r="PF39" s="139"/>
      <c r="PG39" s="139"/>
      <c r="PH39" s="139"/>
      <c r="PI39" s="139"/>
      <c r="PJ39" s="139"/>
      <c r="PK39" s="139"/>
      <c r="PL39" s="139"/>
      <c r="PM39" s="139"/>
      <c r="PN39" s="139"/>
      <c r="PO39" s="139"/>
      <c r="PP39" s="139"/>
      <c r="PQ39" s="139"/>
      <c r="PR39" s="139"/>
      <c r="PS39" s="139"/>
      <c r="PT39" s="139"/>
      <c r="PU39" s="139"/>
      <c r="PV39" s="139"/>
      <c r="PW39" s="139"/>
      <c r="PX39" s="139"/>
      <c r="PY39" s="139"/>
      <c r="PZ39" s="139"/>
      <c r="QA39" s="139"/>
      <c r="QB39" s="139"/>
      <c r="QC39" s="139"/>
      <c r="QD39" s="139"/>
      <c r="QE39" s="139"/>
      <c r="QF39" s="139"/>
      <c r="QG39" s="139"/>
      <c r="QH39" s="139"/>
      <c r="QI39" s="139"/>
      <c r="QJ39" s="139"/>
      <c r="QK39" s="139"/>
      <c r="QL39" s="139"/>
      <c r="QM39" s="139"/>
      <c r="QN39" s="139"/>
      <c r="QO39" s="139"/>
      <c r="QP39" s="139"/>
      <c r="QQ39" s="139"/>
      <c r="QR39" s="139"/>
      <c r="QS39" s="139"/>
      <c r="QT39" s="139"/>
      <c r="QU39" s="139"/>
      <c r="QV39" s="139"/>
      <c r="QW39" s="139"/>
      <c r="QX39" s="139"/>
      <c r="QY39" s="139"/>
      <c r="QZ39" s="139"/>
      <c r="RA39" s="139"/>
      <c r="RB39" s="139"/>
      <c r="RC39" s="139"/>
      <c r="RD39" s="139"/>
      <c r="RE39" s="139"/>
      <c r="RF39" s="139"/>
      <c r="RG39" s="139"/>
      <c r="RH39" s="139"/>
      <c r="RI39" s="139"/>
      <c r="RJ39" s="139"/>
      <c r="RK39" s="139"/>
      <c r="RL39" s="139"/>
      <c r="RM39" s="139"/>
      <c r="RN39" s="139"/>
      <c r="RO39" s="139"/>
      <c r="RP39" s="139"/>
      <c r="RQ39" s="139"/>
      <c r="RR39" s="139"/>
      <c r="RS39" s="139"/>
      <c r="RT39" s="139"/>
      <c r="RU39" s="139"/>
      <c r="RV39" s="139"/>
      <c r="RW39" s="139"/>
      <c r="RX39" s="139"/>
      <c r="RY39" s="139"/>
      <c r="RZ39" s="139"/>
      <c r="SA39" s="139"/>
      <c r="SB39" s="139"/>
      <c r="SC39" s="139"/>
      <c r="SD39" s="139"/>
      <c r="SE39" s="139"/>
      <c r="SF39" s="139"/>
      <c r="SG39" s="139"/>
      <c r="SH39" s="139"/>
      <c r="SI39" s="139"/>
      <c r="SJ39" s="139"/>
      <c r="SK39" s="139"/>
      <c r="SL39" s="139"/>
      <c r="SM39" s="139"/>
      <c r="SN39" s="139"/>
      <c r="SO39" s="139"/>
      <c r="SP39" s="139"/>
      <c r="SQ39" s="139"/>
      <c r="SR39" s="139"/>
      <c r="SS39" s="139"/>
      <c r="ST39" s="139"/>
      <c r="SU39" s="139"/>
      <c r="SV39" s="139"/>
      <c r="SW39" s="139"/>
      <c r="SX39" s="139"/>
      <c r="SY39" s="139"/>
      <c r="SZ39" s="139"/>
      <c r="TA39" s="139"/>
      <c r="TB39" s="139"/>
      <c r="TC39" s="139"/>
      <c r="TD39" s="139"/>
      <c r="TE39" s="139"/>
      <c r="TF39" s="139"/>
      <c r="TG39" s="139"/>
      <c r="TH39" s="139"/>
      <c r="TI39" s="139"/>
      <c r="TJ39" s="139"/>
      <c r="TK39" s="139"/>
      <c r="TL39" s="139"/>
      <c r="TM39" s="139"/>
      <c r="TN39" s="139"/>
      <c r="TO39" s="139"/>
      <c r="TP39" s="139"/>
      <c r="TQ39" s="139"/>
      <c r="TR39" s="139"/>
      <c r="TS39" s="139"/>
      <c r="TT39" s="139"/>
      <c r="TU39" s="139"/>
      <c r="TV39" s="139"/>
      <c r="TW39" s="139"/>
      <c r="TX39" s="139"/>
      <c r="TY39" s="139"/>
      <c r="TZ39" s="139"/>
      <c r="UA39" s="139"/>
      <c r="UB39" s="139"/>
      <c r="UC39" s="139"/>
      <c r="UD39" s="139"/>
      <c r="UE39" s="139"/>
      <c r="UF39" s="139"/>
      <c r="UG39" s="139"/>
      <c r="UH39" s="139"/>
      <c r="UI39" s="139"/>
      <c r="UJ39" s="139"/>
      <c r="UK39" s="139"/>
      <c r="UL39" s="139"/>
      <c r="UM39" s="139"/>
      <c r="UN39" s="139"/>
      <c r="UO39" s="139"/>
      <c r="UP39" s="139"/>
      <c r="UQ39" s="139"/>
      <c r="UR39" s="139"/>
      <c r="US39" s="139"/>
      <c r="UT39" s="139"/>
      <c r="UU39" s="139"/>
      <c r="UV39" s="139"/>
      <c r="UW39" s="139"/>
      <c r="UX39" s="139"/>
      <c r="UY39" s="139"/>
      <c r="UZ39" s="139"/>
      <c r="VA39" s="139"/>
      <c r="VB39" s="139"/>
      <c r="VC39" s="139"/>
      <c r="VD39" s="139"/>
      <c r="VE39" s="139"/>
      <c r="VF39" s="139"/>
      <c r="VG39" s="139"/>
      <c r="VH39" s="139"/>
      <c r="VI39" s="139"/>
      <c r="VJ39" s="139"/>
      <c r="VK39" s="139"/>
      <c r="VL39" s="139"/>
      <c r="VM39" s="139"/>
      <c r="VN39" s="139"/>
      <c r="VO39" s="139"/>
      <c r="VP39" s="139"/>
      <c r="VQ39" s="139"/>
      <c r="VR39" s="139"/>
      <c r="VS39" s="139"/>
      <c r="VT39" s="139"/>
      <c r="VU39" s="139"/>
      <c r="VV39" s="139"/>
      <c r="VW39" s="139"/>
      <c r="VX39" s="139"/>
      <c r="VY39" s="139"/>
      <c r="VZ39" s="139"/>
      <c r="WA39" s="139"/>
      <c r="WB39" s="139"/>
      <c r="WC39" s="139"/>
      <c r="WD39" s="139"/>
      <c r="WE39" s="139"/>
      <c r="WF39" s="139"/>
      <c r="WG39" s="139"/>
      <c r="WH39" s="139"/>
      <c r="WI39" s="139"/>
      <c r="WJ39" s="139"/>
      <c r="WK39" s="139"/>
      <c r="WL39" s="139"/>
      <c r="WM39" s="139"/>
      <c r="WN39" s="139"/>
      <c r="WO39" s="139"/>
      <c r="WP39" s="139"/>
      <c r="WQ39" s="139"/>
      <c r="WR39" s="139"/>
      <c r="WS39" s="139"/>
      <c r="WT39" s="139"/>
      <c r="WU39" s="139"/>
      <c r="WV39" s="139"/>
      <c r="WW39" s="139"/>
      <c r="WX39" s="139"/>
      <c r="WY39" s="139"/>
      <c r="WZ39" s="139"/>
      <c r="XA39" s="139"/>
      <c r="XB39" s="139"/>
      <c r="XC39" s="139"/>
      <c r="XD39" s="139"/>
      <c r="XE39" s="139"/>
      <c r="XF39" s="139"/>
      <c r="XG39" s="139"/>
      <c r="XH39" s="139"/>
      <c r="XI39" s="139"/>
      <c r="XJ39" s="139"/>
      <c r="XK39" s="139"/>
      <c r="XL39" s="139"/>
      <c r="XM39" s="139"/>
      <c r="XN39" s="139"/>
      <c r="XO39" s="139"/>
      <c r="XP39" s="139"/>
      <c r="XQ39" s="139"/>
      <c r="XR39" s="139"/>
      <c r="XS39" s="139"/>
      <c r="XT39" s="139"/>
      <c r="XU39" s="139"/>
      <c r="XV39" s="139"/>
      <c r="XW39" s="139"/>
      <c r="XX39" s="139"/>
      <c r="XY39" s="139"/>
      <c r="XZ39" s="139"/>
      <c r="YA39" s="139"/>
      <c r="YB39" s="139"/>
      <c r="YC39" s="139"/>
      <c r="YD39" s="139"/>
      <c r="YE39" s="139"/>
      <c r="YF39" s="139"/>
      <c r="YG39" s="139"/>
      <c r="YH39" s="139"/>
      <c r="YI39" s="139"/>
      <c r="YJ39" s="139"/>
      <c r="YK39" s="139"/>
      <c r="YL39" s="139"/>
      <c r="YM39" s="139"/>
      <c r="YN39" s="139"/>
      <c r="YO39" s="139"/>
      <c r="YP39" s="139"/>
      <c r="YQ39" s="139"/>
      <c r="YR39" s="139"/>
      <c r="YS39" s="139"/>
      <c r="YT39" s="139"/>
      <c r="YU39" s="139"/>
      <c r="YV39" s="139"/>
      <c r="YW39" s="139"/>
      <c r="YX39" s="139"/>
      <c r="YY39" s="139"/>
      <c r="YZ39" s="139"/>
      <c r="ZA39" s="139"/>
      <c r="ZB39" s="139"/>
      <c r="ZC39" s="139"/>
      <c r="ZD39" s="139"/>
      <c r="ZE39" s="139"/>
      <c r="ZF39" s="139"/>
      <c r="ZG39" s="139"/>
      <c r="ZH39" s="139"/>
      <c r="ZI39" s="139"/>
      <c r="ZJ39" s="139"/>
      <c r="ZK39" s="139"/>
      <c r="ZL39" s="139"/>
      <c r="ZM39" s="139"/>
      <c r="ZN39" s="139"/>
      <c r="ZO39" s="139"/>
      <c r="ZP39" s="139"/>
      <c r="ZQ39" s="139"/>
      <c r="ZR39" s="139"/>
      <c r="ZS39" s="139"/>
      <c r="ZT39" s="139"/>
      <c r="ZU39" s="139"/>
      <c r="ZV39" s="139"/>
      <c r="ZW39" s="139"/>
      <c r="ZX39" s="139"/>
      <c r="ZY39" s="139"/>
      <c r="ZZ39" s="139"/>
      <c r="AAA39" s="139"/>
      <c r="AAB39" s="139"/>
      <c r="AAC39" s="139"/>
      <c r="AAD39" s="139"/>
      <c r="AAE39" s="139"/>
      <c r="AAF39" s="139"/>
      <c r="AAG39" s="139"/>
      <c r="AAH39" s="139"/>
      <c r="AAI39" s="139"/>
      <c r="AAJ39" s="139"/>
      <c r="AAK39" s="139"/>
      <c r="AAL39" s="139"/>
      <c r="AAM39" s="139"/>
      <c r="AAN39" s="139"/>
      <c r="AAO39" s="139"/>
      <c r="AAP39" s="139"/>
      <c r="AAQ39" s="139"/>
      <c r="AAR39" s="139"/>
      <c r="AAS39" s="139"/>
      <c r="AAT39" s="139"/>
      <c r="AAU39" s="139"/>
      <c r="AAV39" s="139"/>
      <c r="AAW39" s="139"/>
      <c r="AAX39" s="139"/>
      <c r="AAY39" s="139"/>
      <c r="AAZ39" s="139"/>
      <c r="ABA39" s="139"/>
      <c r="ABB39" s="139"/>
      <c r="ABC39" s="139"/>
      <c r="ABD39" s="139"/>
      <c r="ABE39" s="139"/>
      <c r="ABF39" s="139"/>
      <c r="ABG39" s="139"/>
      <c r="ABH39" s="139"/>
      <c r="ABI39" s="139"/>
      <c r="ABJ39" s="139"/>
      <c r="ABK39" s="139"/>
      <c r="ABL39" s="139"/>
      <c r="ABM39" s="139"/>
      <c r="ABN39" s="139"/>
      <c r="ABO39" s="139"/>
      <c r="ABP39" s="139"/>
      <c r="ABQ39" s="139"/>
      <c r="ABR39" s="139"/>
      <c r="ABS39" s="139"/>
      <c r="ABT39" s="139"/>
      <c r="ABU39" s="139"/>
      <c r="ABV39" s="139"/>
      <c r="ABW39" s="139"/>
      <c r="ABX39" s="139"/>
      <c r="ABY39" s="139"/>
      <c r="ABZ39" s="139"/>
      <c r="ACA39" s="139"/>
      <c r="ACB39" s="139"/>
      <c r="ACC39" s="139"/>
      <c r="ACD39" s="139"/>
      <c r="ACE39" s="139"/>
      <c r="ACF39" s="139"/>
      <c r="ACG39" s="139"/>
      <c r="ACH39" s="139"/>
      <c r="ACI39" s="139"/>
      <c r="ACJ39" s="139"/>
      <c r="ACK39" s="139"/>
      <c r="ACL39" s="139"/>
      <c r="ACM39" s="139"/>
      <c r="ACN39" s="139"/>
      <c r="ACO39" s="139"/>
      <c r="ACP39" s="139"/>
      <c r="ACQ39" s="139"/>
      <c r="ACR39" s="139"/>
      <c r="ACS39" s="139"/>
      <c r="ACT39" s="139"/>
      <c r="ACU39" s="139"/>
      <c r="ACV39" s="139"/>
      <c r="ACW39" s="139"/>
      <c r="ACX39" s="139"/>
      <c r="ACY39" s="139"/>
      <c r="ACZ39" s="139"/>
      <c r="ADA39" s="139"/>
      <c r="ADB39" s="139"/>
      <c r="ADC39" s="139"/>
      <c r="ADD39" s="139"/>
      <c r="ADE39" s="139"/>
      <c r="ADF39" s="139"/>
      <c r="ADG39" s="139"/>
      <c r="ADH39" s="139"/>
      <c r="ADI39" s="139"/>
      <c r="ADJ39" s="139"/>
      <c r="ADK39" s="139"/>
      <c r="ADL39" s="139"/>
      <c r="ADM39" s="139"/>
      <c r="ADN39" s="139"/>
      <c r="ADO39" s="139"/>
      <c r="ADP39" s="139"/>
      <c r="ADQ39" s="139"/>
      <c r="ADR39" s="139"/>
      <c r="ADS39" s="139"/>
      <c r="ADT39" s="139"/>
      <c r="ADU39" s="139"/>
      <c r="ADV39" s="139"/>
      <c r="ADW39" s="139"/>
      <c r="ADX39" s="139"/>
      <c r="ADY39" s="139"/>
      <c r="ADZ39" s="139"/>
      <c r="AEA39" s="139"/>
      <c r="AEB39" s="139"/>
      <c r="AEC39" s="139"/>
      <c r="AED39" s="139"/>
      <c r="AEE39" s="139"/>
      <c r="AEF39" s="139"/>
      <c r="AEG39" s="139"/>
      <c r="AEH39" s="139"/>
      <c r="AEI39" s="139"/>
      <c r="AEJ39" s="139"/>
      <c r="AEK39" s="139"/>
      <c r="AEL39" s="139"/>
      <c r="AEM39" s="139"/>
      <c r="AEN39" s="139"/>
      <c r="AEO39" s="139"/>
      <c r="AEP39" s="139"/>
      <c r="AEQ39" s="139"/>
      <c r="AER39" s="139"/>
      <c r="AES39" s="139"/>
      <c r="AET39" s="139"/>
      <c r="AEU39" s="139"/>
      <c r="AEV39" s="139"/>
      <c r="AEW39" s="139"/>
      <c r="AEX39" s="139"/>
      <c r="AEY39" s="139"/>
      <c r="AEZ39" s="139"/>
      <c r="AFA39" s="139"/>
      <c r="AFB39" s="139"/>
      <c r="AFC39" s="139"/>
      <c r="AFD39" s="139"/>
      <c r="AFE39" s="139"/>
      <c r="AFF39" s="139"/>
      <c r="AFG39" s="139"/>
      <c r="AFH39" s="139"/>
      <c r="AFI39" s="139"/>
      <c r="AFJ39" s="139"/>
      <c r="AFK39" s="139"/>
      <c r="AFL39" s="139"/>
      <c r="AFM39" s="139"/>
      <c r="AFN39" s="139"/>
      <c r="AFO39" s="139"/>
      <c r="AFP39" s="139"/>
      <c r="AFQ39" s="139"/>
      <c r="AFR39" s="139"/>
      <c r="AFS39" s="139"/>
      <c r="AFT39" s="139"/>
      <c r="AFU39" s="139"/>
      <c r="AFV39" s="139"/>
      <c r="AFW39" s="139"/>
      <c r="AFX39" s="139"/>
      <c r="AFY39" s="139"/>
      <c r="AFZ39" s="139"/>
      <c r="AGA39" s="139"/>
      <c r="AGB39" s="139"/>
      <c r="AGC39" s="139"/>
      <c r="AGD39" s="139"/>
      <c r="AGE39" s="139"/>
      <c r="AGF39" s="139"/>
      <c r="AGG39" s="139"/>
      <c r="AGH39" s="139"/>
      <c r="AGI39" s="139"/>
      <c r="AGJ39" s="139"/>
      <c r="AGK39" s="139"/>
      <c r="AGL39" s="139"/>
      <c r="AGM39" s="139"/>
      <c r="AGN39" s="139"/>
      <c r="AGO39" s="139"/>
      <c r="AGP39" s="139"/>
      <c r="AGQ39" s="139"/>
      <c r="AGR39" s="139"/>
      <c r="AGS39" s="139"/>
      <c r="AGT39" s="139"/>
      <c r="AGU39" s="139"/>
      <c r="AGV39" s="139"/>
      <c r="AGW39" s="139"/>
      <c r="AGX39" s="139"/>
      <c r="AGY39" s="139"/>
      <c r="AGZ39" s="139"/>
      <c r="AHA39" s="139"/>
      <c r="AHB39" s="139"/>
      <c r="AHC39" s="139"/>
      <c r="AHD39" s="139"/>
      <c r="AHE39" s="139"/>
      <c r="AHF39" s="139"/>
      <c r="AHG39" s="139"/>
      <c r="AHH39" s="139"/>
      <c r="AHI39" s="139"/>
      <c r="AHJ39" s="139"/>
      <c r="AHK39" s="139"/>
      <c r="AHL39" s="139"/>
      <c r="AHM39" s="139"/>
      <c r="AHN39" s="139"/>
      <c r="AHO39" s="139"/>
      <c r="AHP39" s="139"/>
      <c r="AHQ39" s="139"/>
      <c r="AHR39" s="139"/>
      <c r="AHS39" s="139"/>
      <c r="AHT39" s="139"/>
      <c r="AHU39" s="139"/>
      <c r="AHV39" s="139"/>
      <c r="AHW39" s="139"/>
      <c r="AHX39" s="139"/>
      <c r="AHY39" s="139"/>
      <c r="AHZ39" s="139"/>
      <c r="AIA39" s="139"/>
      <c r="AIB39" s="139"/>
      <c r="AIC39" s="139"/>
      <c r="AID39" s="139"/>
      <c r="AIE39" s="139"/>
      <c r="AIF39" s="139"/>
      <c r="AIG39" s="139"/>
      <c r="AIH39" s="139"/>
      <c r="AII39" s="139"/>
      <c r="AIJ39" s="139"/>
      <c r="AIK39" s="139"/>
      <c r="AIL39" s="139"/>
      <c r="AIM39" s="139"/>
      <c r="AIN39" s="139"/>
      <c r="AIO39" s="139"/>
      <c r="AIP39" s="139"/>
      <c r="AIQ39" s="139"/>
      <c r="AIR39" s="139"/>
      <c r="AIS39" s="139"/>
      <c r="AIT39" s="139"/>
      <c r="AIU39" s="139"/>
      <c r="AIV39" s="139"/>
      <c r="AIW39" s="139"/>
      <c r="AIX39" s="139"/>
      <c r="AIY39" s="139"/>
      <c r="AIZ39" s="139"/>
      <c r="AJA39" s="139"/>
      <c r="AJB39" s="139"/>
      <c r="AJC39" s="139"/>
      <c r="AJD39" s="139"/>
      <c r="AJE39" s="139"/>
      <c r="AJF39" s="139"/>
      <c r="AJG39" s="139"/>
      <c r="AJH39" s="139"/>
      <c r="AJI39" s="139"/>
      <c r="AJJ39" s="139"/>
      <c r="AJK39" s="139"/>
      <c r="AJL39" s="139"/>
      <c r="AJM39" s="139"/>
      <c r="AJN39" s="139"/>
      <c r="AJO39" s="139"/>
      <c r="AJP39" s="139"/>
      <c r="AJQ39" s="139"/>
      <c r="AJR39" s="139"/>
      <c r="AJS39" s="139"/>
      <c r="AJT39" s="139"/>
      <c r="AJU39" s="139"/>
      <c r="AJV39" s="139"/>
      <c r="AJW39" s="139"/>
      <c r="AJX39" s="139"/>
      <c r="AJY39" s="139"/>
      <c r="AJZ39" s="139"/>
      <c r="AKA39" s="139"/>
      <c r="AKB39" s="139"/>
      <c r="AKC39" s="139"/>
      <c r="AKD39" s="139"/>
      <c r="AKE39" s="139"/>
      <c r="AKF39" s="139"/>
      <c r="AKG39" s="139"/>
      <c r="AKH39" s="139"/>
      <c r="AKI39" s="139"/>
      <c r="AKJ39" s="139"/>
      <c r="AKK39" s="139"/>
      <c r="AKL39" s="139"/>
      <c r="AKM39" s="139"/>
      <c r="AKN39" s="139"/>
      <c r="AKO39" s="139"/>
      <c r="AKP39" s="139"/>
      <c r="AKQ39" s="139"/>
      <c r="AKR39" s="139"/>
      <c r="AKS39" s="139"/>
      <c r="AKT39" s="139"/>
      <c r="AKU39" s="139"/>
      <c r="AKV39" s="139"/>
      <c r="AKW39" s="139"/>
      <c r="AKX39" s="139"/>
      <c r="AKY39" s="139"/>
      <c r="AKZ39" s="139"/>
      <c r="ALA39" s="139"/>
      <c r="ALB39" s="139"/>
      <c r="ALC39" s="139"/>
      <c r="ALD39" s="139"/>
      <c r="ALE39" s="139"/>
      <c r="ALF39" s="139"/>
      <c r="ALG39" s="139"/>
      <c r="ALH39" s="139"/>
      <c r="ALI39" s="139"/>
      <c r="ALJ39" s="139"/>
      <c r="ALK39" s="139"/>
      <c r="ALL39" s="139"/>
      <c r="ALM39" s="139"/>
      <c r="ALN39" s="139"/>
      <c r="ALO39" s="139"/>
      <c r="ALP39" s="139"/>
      <c r="ALQ39" s="139"/>
      <c r="ALR39" s="139"/>
      <c r="ALS39" s="139"/>
      <c r="ALT39" s="139"/>
      <c r="ALU39" s="139"/>
      <c r="ALV39" s="139"/>
      <c r="ALW39" s="139"/>
      <c r="ALX39" s="139"/>
      <c r="ALY39" s="139"/>
      <c r="ALZ39" s="139"/>
      <c r="AMA39" s="139"/>
      <c r="AMB39" s="139"/>
      <c r="AMC39" s="139"/>
      <c r="AMD39" s="139"/>
      <c r="AME39" s="139"/>
      <c r="AMF39" s="139"/>
      <c r="AMG39" s="139"/>
      <c r="AMH39" s="139"/>
      <c r="AMI39" s="139"/>
      <c r="AMJ39" s="139"/>
    </row>
    <row r="40" spans="1:1024" s="140" customFormat="1" x14ac:dyDescent="0.25">
      <c r="A40" s="209" t="s">
        <v>29</v>
      </c>
      <c r="B40" s="209"/>
      <c r="C40" s="210" t="s">
        <v>30</v>
      </c>
      <c r="D40" s="210"/>
      <c r="E40" s="210"/>
      <c r="F40" s="211" t="s">
        <v>31</v>
      </c>
      <c r="G40" s="211"/>
      <c r="H40" s="210" t="s">
        <v>32</v>
      </c>
      <c r="I40" s="210"/>
      <c r="J40" s="210"/>
      <c r="K40" s="210"/>
      <c r="L40" s="210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39"/>
      <c r="EL40" s="139"/>
      <c r="EM40" s="139"/>
      <c r="EN40" s="139"/>
      <c r="EO40" s="139"/>
      <c r="EP40" s="139"/>
      <c r="EQ40" s="139"/>
      <c r="ER40" s="139"/>
      <c r="ES40" s="139"/>
      <c r="ET40" s="139"/>
      <c r="EU40" s="139"/>
      <c r="EV40" s="139"/>
      <c r="EW40" s="139"/>
      <c r="EX40" s="139"/>
      <c r="EY40" s="139"/>
      <c r="EZ40" s="139"/>
      <c r="FA40" s="139"/>
      <c r="FB40" s="139"/>
      <c r="FC40" s="139"/>
      <c r="FD40" s="139"/>
      <c r="FE40" s="139"/>
      <c r="FF40" s="139"/>
      <c r="FG40" s="139"/>
      <c r="FH40" s="139"/>
      <c r="FI40" s="139"/>
      <c r="FJ40" s="139"/>
      <c r="FK40" s="139"/>
      <c r="FL40" s="139"/>
      <c r="FM40" s="139"/>
      <c r="FN40" s="139"/>
      <c r="FO40" s="139"/>
      <c r="FP40" s="139"/>
      <c r="FQ40" s="139"/>
      <c r="FR40" s="139"/>
      <c r="FS40" s="139"/>
      <c r="FT40" s="139"/>
      <c r="FU40" s="139"/>
      <c r="FV40" s="139"/>
      <c r="FW40" s="139"/>
      <c r="FX40" s="139"/>
      <c r="FY40" s="139"/>
      <c r="FZ40" s="139"/>
      <c r="GA40" s="139"/>
      <c r="GB40" s="139"/>
      <c r="GC40" s="139"/>
      <c r="GD40" s="139"/>
      <c r="GE40" s="139"/>
      <c r="GF40" s="139"/>
      <c r="GG40" s="139"/>
      <c r="GH40" s="139"/>
      <c r="GI40" s="139"/>
      <c r="GJ40" s="139"/>
      <c r="GK40" s="139"/>
      <c r="GL40" s="139"/>
      <c r="GM40" s="139"/>
      <c r="GN40" s="139"/>
      <c r="GO40" s="139"/>
      <c r="GP40" s="139"/>
      <c r="GQ40" s="139"/>
      <c r="GR40" s="139"/>
      <c r="GS40" s="139"/>
      <c r="GT40" s="139"/>
      <c r="GU40" s="139"/>
      <c r="GV40" s="139"/>
      <c r="GW40" s="139"/>
      <c r="GX40" s="139"/>
      <c r="GY40" s="139"/>
      <c r="GZ40" s="139"/>
      <c r="HA40" s="139"/>
      <c r="HB40" s="139"/>
      <c r="HC40" s="139"/>
      <c r="HD40" s="139"/>
      <c r="HE40" s="139"/>
      <c r="HF40" s="139"/>
      <c r="HG40" s="139"/>
      <c r="HH40" s="139"/>
      <c r="HI40" s="139"/>
      <c r="HJ40" s="139"/>
      <c r="HK40" s="139"/>
      <c r="HL40" s="139"/>
      <c r="HM40" s="139"/>
      <c r="HN40" s="139"/>
      <c r="HO40" s="139"/>
      <c r="HP40" s="139"/>
      <c r="HQ40" s="139"/>
      <c r="HR40" s="139"/>
      <c r="HS40" s="139"/>
      <c r="HT40" s="139"/>
      <c r="HU40" s="139"/>
      <c r="HV40" s="139"/>
      <c r="HW40" s="139"/>
      <c r="HX40" s="139"/>
      <c r="HY40" s="139"/>
      <c r="HZ40" s="139"/>
      <c r="IA40" s="139"/>
      <c r="IB40" s="139"/>
      <c r="IC40" s="139"/>
      <c r="ID40" s="139"/>
      <c r="IE40" s="139"/>
      <c r="IF40" s="139"/>
      <c r="IG40" s="139"/>
      <c r="IH40" s="139"/>
      <c r="II40" s="139"/>
      <c r="IJ40" s="139"/>
      <c r="IK40" s="139"/>
      <c r="IL40" s="139"/>
      <c r="IM40" s="139"/>
      <c r="IN40" s="139"/>
      <c r="IO40" s="139"/>
      <c r="IP40" s="139"/>
      <c r="IQ40" s="139"/>
      <c r="IR40" s="139"/>
      <c r="IS40" s="139"/>
      <c r="IT40" s="139"/>
      <c r="IU40" s="139"/>
      <c r="IV40" s="139"/>
      <c r="IW40" s="139"/>
      <c r="IX40" s="139"/>
      <c r="IY40" s="139"/>
      <c r="IZ40" s="139"/>
      <c r="JA40" s="139"/>
      <c r="JB40" s="139"/>
      <c r="JC40" s="139"/>
      <c r="JD40" s="139"/>
      <c r="JE40" s="139"/>
      <c r="JF40" s="139"/>
      <c r="JG40" s="139"/>
      <c r="JH40" s="139"/>
      <c r="JI40" s="139"/>
      <c r="JJ40" s="139"/>
      <c r="JK40" s="139"/>
      <c r="JL40" s="139"/>
      <c r="JM40" s="139"/>
      <c r="JN40" s="139"/>
      <c r="JO40" s="139"/>
      <c r="JP40" s="139"/>
      <c r="JQ40" s="139"/>
      <c r="JR40" s="139"/>
      <c r="JS40" s="139"/>
      <c r="JT40" s="139"/>
      <c r="JU40" s="139"/>
      <c r="JV40" s="139"/>
      <c r="JW40" s="139"/>
      <c r="JX40" s="139"/>
      <c r="JY40" s="139"/>
      <c r="JZ40" s="139"/>
      <c r="KA40" s="139"/>
      <c r="KB40" s="139"/>
      <c r="KC40" s="139"/>
      <c r="KD40" s="139"/>
      <c r="KE40" s="139"/>
      <c r="KF40" s="139"/>
      <c r="KG40" s="139"/>
      <c r="KH40" s="139"/>
      <c r="KI40" s="139"/>
      <c r="KJ40" s="139"/>
      <c r="KK40" s="139"/>
      <c r="KL40" s="139"/>
      <c r="KM40" s="139"/>
      <c r="KN40" s="139"/>
      <c r="KO40" s="139"/>
      <c r="KP40" s="139"/>
      <c r="KQ40" s="139"/>
      <c r="KR40" s="139"/>
      <c r="KS40" s="139"/>
      <c r="KT40" s="139"/>
      <c r="KU40" s="139"/>
      <c r="KV40" s="139"/>
      <c r="KW40" s="139"/>
      <c r="KX40" s="139"/>
      <c r="KY40" s="139"/>
      <c r="KZ40" s="139"/>
      <c r="LA40" s="139"/>
      <c r="LB40" s="139"/>
      <c r="LC40" s="139"/>
      <c r="LD40" s="139"/>
      <c r="LE40" s="139"/>
      <c r="LF40" s="139"/>
      <c r="LG40" s="139"/>
      <c r="LH40" s="139"/>
      <c r="LI40" s="139"/>
      <c r="LJ40" s="139"/>
      <c r="LK40" s="139"/>
      <c r="LL40" s="139"/>
      <c r="LM40" s="139"/>
      <c r="LN40" s="139"/>
      <c r="LO40" s="139"/>
      <c r="LP40" s="139"/>
      <c r="LQ40" s="139"/>
      <c r="LR40" s="139"/>
      <c r="LS40" s="139"/>
      <c r="LT40" s="139"/>
      <c r="LU40" s="139"/>
      <c r="LV40" s="139"/>
      <c r="LW40" s="139"/>
      <c r="LX40" s="139"/>
      <c r="LY40" s="139"/>
      <c r="LZ40" s="139"/>
      <c r="MA40" s="139"/>
      <c r="MB40" s="139"/>
      <c r="MC40" s="139"/>
      <c r="MD40" s="139"/>
      <c r="ME40" s="139"/>
      <c r="MF40" s="139"/>
      <c r="MG40" s="139"/>
      <c r="MH40" s="139"/>
      <c r="MI40" s="139"/>
      <c r="MJ40" s="139"/>
      <c r="MK40" s="139"/>
      <c r="ML40" s="139"/>
      <c r="MM40" s="139"/>
      <c r="MN40" s="139"/>
      <c r="MO40" s="139"/>
      <c r="MP40" s="139"/>
      <c r="MQ40" s="139"/>
      <c r="MR40" s="139"/>
      <c r="MS40" s="139"/>
      <c r="MT40" s="139"/>
      <c r="MU40" s="139"/>
      <c r="MV40" s="139"/>
      <c r="MW40" s="139"/>
      <c r="MX40" s="139"/>
      <c r="MY40" s="139"/>
      <c r="MZ40" s="139"/>
      <c r="NA40" s="139"/>
      <c r="NB40" s="139"/>
      <c r="NC40" s="139"/>
      <c r="ND40" s="139"/>
      <c r="NE40" s="139"/>
      <c r="NF40" s="139"/>
      <c r="NG40" s="139"/>
      <c r="NH40" s="139"/>
      <c r="NI40" s="139"/>
      <c r="NJ40" s="139"/>
      <c r="NK40" s="139"/>
      <c r="NL40" s="139"/>
      <c r="NM40" s="139"/>
      <c r="NN40" s="139"/>
      <c r="NO40" s="139"/>
      <c r="NP40" s="139"/>
      <c r="NQ40" s="139"/>
      <c r="NR40" s="139"/>
      <c r="NS40" s="139"/>
      <c r="NT40" s="139"/>
      <c r="NU40" s="139"/>
      <c r="NV40" s="139"/>
      <c r="NW40" s="139"/>
      <c r="NX40" s="139"/>
      <c r="NY40" s="139"/>
      <c r="NZ40" s="139"/>
      <c r="OA40" s="139"/>
      <c r="OB40" s="139"/>
      <c r="OC40" s="139"/>
      <c r="OD40" s="139"/>
      <c r="OE40" s="139"/>
      <c r="OF40" s="139"/>
      <c r="OG40" s="139"/>
      <c r="OH40" s="139"/>
      <c r="OI40" s="139"/>
      <c r="OJ40" s="139"/>
      <c r="OK40" s="139"/>
      <c r="OL40" s="139"/>
      <c r="OM40" s="139"/>
      <c r="ON40" s="139"/>
      <c r="OO40" s="139"/>
      <c r="OP40" s="139"/>
      <c r="OQ40" s="139"/>
      <c r="OR40" s="139"/>
      <c r="OS40" s="139"/>
      <c r="OT40" s="139"/>
      <c r="OU40" s="139"/>
      <c r="OV40" s="139"/>
      <c r="OW40" s="139"/>
      <c r="OX40" s="139"/>
      <c r="OY40" s="139"/>
      <c r="OZ40" s="139"/>
      <c r="PA40" s="139"/>
      <c r="PB40" s="139"/>
      <c r="PC40" s="139"/>
      <c r="PD40" s="139"/>
      <c r="PE40" s="139"/>
      <c r="PF40" s="139"/>
      <c r="PG40" s="139"/>
      <c r="PH40" s="139"/>
      <c r="PI40" s="139"/>
      <c r="PJ40" s="139"/>
      <c r="PK40" s="139"/>
      <c r="PL40" s="139"/>
      <c r="PM40" s="139"/>
      <c r="PN40" s="139"/>
      <c r="PO40" s="139"/>
      <c r="PP40" s="139"/>
      <c r="PQ40" s="139"/>
      <c r="PR40" s="139"/>
      <c r="PS40" s="139"/>
      <c r="PT40" s="139"/>
      <c r="PU40" s="139"/>
      <c r="PV40" s="139"/>
      <c r="PW40" s="139"/>
      <c r="PX40" s="139"/>
      <c r="PY40" s="139"/>
      <c r="PZ40" s="139"/>
      <c r="QA40" s="139"/>
      <c r="QB40" s="139"/>
      <c r="QC40" s="139"/>
      <c r="QD40" s="139"/>
      <c r="QE40" s="139"/>
      <c r="QF40" s="139"/>
      <c r="QG40" s="139"/>
      <c r="QH40" s="139"/>
      <c r="QI40" s="139"/>
      <c r="QJ40" s="139"/>
      <c r="QK40" s="139"/>
      <c r="QL40" s="139"/>
      <c r="QM40" s="139"/>
      <c r="QN40" s="139"/>
      <c r="QO40" s="139"/>
      <c r="QP40" s="139"/>
      <c r="QQ40" s="139"/>
      <c r="QR40" s="139"/>
      <c r="QS40" s="139"/>
      <c r="QT40" s="139"/>
      <c r="QU40" s="139"/>
      <c r="QV40" s="139"/>
      <c r="QW40" s="139"/>
      <c r="QX40" s="139"/>
      <c r="QY40" s="139"/>
      <c r="QZ40" s="139"/>
      <c r="RA40" s="139"/>
      <c r="RB40" s="139"/>
      <c r="RC40" s="139"/>
      <c r="RD40" s="139"/>
      <c r="RE40" s="139"/>
      <c r="RF40" s="139"/>
      <c r="RG40" s="139"/>
      <c r="RH40" s="139"/>
      <c r="RI40" s="139"/>
      <c r="RJ40" s="139"/>
      <c r="RK40" s="139"/>
      <c r="RL40" s="139"/>
      <c r="RM40" s="139"/>
      <c r="RN40" s="139"/>
      <c r="RO40" s="139"/>
      <c r="RP40" s="139"/>
      <c r="RQ40" s="139"/>
      <c r="RR40" s="139"/>
      <c r="RS40" s="139"/>
      <c r="RT40" s="139"/>
      <c r="RU40" s="139"/>
      <c r="RV40" s="139"/>
      <c r="RW40" s="139"/>
      <c r="RX40" s="139"/>
      <c r="RY40" s="139"/>
      <c r="RZ40" s="139"/>
      <c r="SA40" s="139"/>
      <c r="SB40" s="139"/>
      <c r="SC40" s="139"/>
      <c r="SD40" s="139"/>
      <c r="SE40" s="139"/>
      <c r="SF40" s="139"/>
      <c r="SG40" s="139"/>
      <c r="SH40" s="139"/>
      <c r="SI40" s="139"/>
      <c r="SJ40" s="139"/>
      <c r="SK40" s="139"/>
      <c r="SL40" s="139"/>
      <c r="SM40" s="139"/>
      <c r="SN40" s="139"/>
      <c r="SO40" s="139"/>
      <c r="SP40" s="139"/>
      <c r="SQ40" s="139"/>
      <c r="SR40" s="139"/>
      <c r="SS40" s="139"/>
      <c r="ST40" s="139"/>
      <c r="SU40" s="139"/>
      <c r="SV40" s="139"/>
      <c r="SW40" s="139"/>
      <c r="SX40" s="139"/>
      <c r="SY40" s="139"/>
      <c r="SZ40" s="139"/>
      <c r="TA40" s="139"/>
      <c r="TB40" s="139"/>
      <c r="TC40" s="139"/>
      <c r="TD40" s="139"/>
      <c r="TE40" s="139"/>
      <c r="TF40" s="139"/>
      <c r="TG40" s="139"/>
      <c r="TH40" s="139"/>
      <c r="TI40" s="139"/>
      <c r="TJ40" s="139"/>
      <c r="TK40" s="139"/>
      <c r="TL40" s="139"/>
      <c r="TM40" s="139"/>
      <c r="TN40" s="139"/>
      <c r="TO40" s="139"/>
      <c r="TP40" s="139"/>
      <c r="TQ40" s="139"/>
      <c r="TR40" s="139"/>
      <c r="TS40" s="139"/>
      <c r="TT40" s="139"/>
      <c r="TU40" s="139"/>
      <c r="TV40" s="139"/>
      <c r="TW40" s="139"/>
      <c r="TX40" s="139"/>
      <c r="TY40" s="139"/>
      <c r="TZ40" s="139"/>
      <c r="UA40" s="139"/>
      <c r="UB40" s="139"/>
      <c r="UC40" s="139"/>
      <c r="UD40" s="139"/>
      <c r="UE40" s="139"/>
      <c r="UF40" s="139"/>
      <c r="UG40" s="139"/>
      <c r="UH40" s="139"/>
      <c r="UI40" s="139"/>
      <c r="UJ40" s="139"/>
      <c r="UK40" s="139"/>
      <c r="UL40" s="139"/>
      <c r="UM40" s="139"/>
      <c r="UN40" s="139"/>
      <c r="UO40" s="139"/>
      <c r="UP40" s="139"/>
      <c r="UQ40" s="139"/>
      <c r="UR40" s="139"/>
      <c r="US40" s="139"/>
      <c r="UT40" s="139"/>
      <c r="UU40" s="139"/>
      <c r="UV40" s="139"/>
      <c r="UW40" s="139"/>
      <c r="UX40" s="139"/>
      <c r="UY40" s="139"/>
      <c r="UZ40" s="139"/>
      <c r="VA40" s="139"/>
      <c r="VB40" s="139"/>
      <c r="VC40" s="139"/>
      <c r="VD40" s="139"/>
      <c r="VE40" s="139"/>
      <c r="VF40" s="139"/>
      <c r="VG40" s="139"/>
      <c r="VH40" s="139"/>
      <c r="VI40" s="139"/>
      <c r="VJ40" s="139"/>
      <c r="VK40" s="139"/>
      <c r="VL40" s="139"/>
      <c r="VM40" s="139"/>
      <c r="VN40" s="139"/>
      <c r="VO40" s="139"/>
      <c r="VP40" s="139"/>
      <c r="VQ40" s="139"/>
      <c r="VR40" s="139"/>
      <c r="VS40" s="139"/>
      <c r="VT40" s="139"/>
      <c r="VU40" s="139"/>
      <c r="VV40" s="139"/>
      <c r="VW40" s="139"/>
      <c r="VX40" s="139"/>
      <c r="VY40" s="139"/>
      <c r="VZ40" s="139"/>
      <c r="WA40" s="139"/>
      <c r="WB40" s="139"/>
      <c r="WC40" s="139"/>
      <c r="WD40" s="139"/>
      <c r="WE40" s="139"/>
      <c r="WF40" s="139"/>
      <c r="WG40" s="139"/>
      <c r="WH40" s="139"/>
      <c r="WI40" s="139"/>
      <c r="WJ40" s="139"/>
      <c r="WK40" s="139"/>
      <c r="WL40" s="139"/>
      <c r="WM40" s="139"/>
      <c r="WN40" s="139"/>
      <c r="WO40" s="139"/>
      <c r="WP40" s="139"/>
      <c r="WQ40" s="139"/>
      <c r="WR40" s="139"/>
      <c r="WS40" s="139"/>
      <c r="WT40" s="139"/>
      <c r="WU40" s="139"/>
      <c r="WV40" s="139"/>
      <c r="WW40" s="139"/>
      <c r="WX40" s="139"/>
      <c r="WY40" s="139"/>
      <c r="WZ40" s="139"/>
      <c r="XA40" s="139"/>
      <c r="XB40" s="139"/>
      <c r="XC40" s="139"/>
      <c r="XD40" s="139"/>
      <c r="XE40" s="139"/>
      <c r="XF40" s="139"/>
      <c r="XG40" s="139"/>
      <c r="XH40" s="139"/>
      <c r="XI40" s="139"/>
      <c r="XJ40" s="139"/>
      <c r="XK40" s="139"/>
      <c r="XL40" s="139"/>
      <c r="XM40" s="139"/>
      <c r="XN40" s="139"/>
      <c r="XO40" s="139"/>
      <c r="XP40" s="139"/>
      <c r="XQ40" s="139"/>
      <c r="XR40" s="139"/>
      <c r="XS40" s="139"/>
      <c r="XT40" s="139"/>
      <c r="XU40" s="139"/>
      <c r="XV40" s="139"/>
      <c r="XW40" s="139"/>
      <c r="XX40" s="139"/>
      <c r="XY40" s="139"/>
      <c r="XZ40" s="139"/>
      <c r="YA40" s="139"/>
      <c r="YB40" s="139"/>
      <c r="YC40" s="139"/>
      <c r="YD40" s="139"/>
      <c r="YE40" s="139"/>
      <c r="YF40" s="139"/>
      <c r="YG40" s="139"/>
      <c r="YH40" s="139"/>
      <c r="YI40" s="139"/>
      <c r="YJ40" s="139"/>
      <c r="YK40" s="139"/>
      <c r="YL40" s="139"/>
      <c r="YM40" s="139"/>
      <c r="YN40" s="139"/>
      <c r="YO40" s="139"/>
      <c r="YP40" s="139"/>
      <c r="YQ40" s="139"/>
      <c r="YR40" s="139"/>
      <c r="YS40" s="139"/>
      <c r="YT40" s="139"/>
      <c r="YU40" s="139"/>
      <c r="YV40" s="139"/>
      <c r="YW40" s="139"/>
      <c r="YX40" s="139"/>
      <c r="YY40" s="139"/>
      <c r="YZ40" s="139"/>
      <c r="ZA40" s="139"/>
      <c r="ZB40" s="139"/>
      <c r="ZC40" s="139"/>
      <c r="ZD40" s="139"/>
      <c r="ZE40" s="139"/>
      <c r="ZF40" s="139"/>
      <c r="ZG40" s="139"/>
      <c r="ZH40" s="139"/>
      <c r="ZI40" s="139"/>
      <c r="ZJ40" s="139"/>
      <c r="ZK40" s="139"/>
      <c r="ZL40" s="139"/>
      <c r="ZM40" s="139"/>
      <c r="ZN40" s="139"/>
      <c r="ZO40" s="139"/>
      <c r="ZP40" s="139"/>
      <c r="ZQ40" s="139"/>
      <c r="ZR40" s="139"/>
      <c r="ZS40" s="139"/>
      <c r="ZT40" s="139"/>
      <c r="ZU40" s="139"/>
      <c r="ZV40" s="139"/>
      <c r="ZW40" s="139"/>
      <c r="ZX40" s="139"/>
      <c r="ZY40" s="139"/>
      <c r="ZZ40" s="139"/>
      <c r="AAA40" s="139"/>
      <c r="AAB40" s="139"/>
      <c r="AAC40" s="139"/>
      <c r="AAD40" s="139"/>
      <c r="AAE40" s="139"/>
      <c r="AAF40" s="139"/>
      <c r="AAG40" s="139"/>
      <c r="AAH40" s="139"/>
      <c r="AAI40" s="139"/>
      <c r="AAJ40" s="139"/>
      <c r="AAK40" s="139"/>
      <c r="AAL40" s="139"/>
      <c r="AAM40" s="139"/>
      <c r="AAN40" s="139"/>
      <c r="AAO40" s="139"/>
      <c r="AAP40" s="139"/>
      <c r="AAQ40" s="139"/>
      <c r="AAR40" s="139"/>
      <c r="AAS40" s="139"/>
      <c r="AAT40" s="139"/>
      <c r="AAU40" s="139"/>
      <c r="AAV40" s="139"/>
      <c r="AAW40" s="139"/>
      <c r="AAX40" s="139"/>
      <c r="AAY40" s="139"/>
      <c r="AAZ40" s="139"/>
      <c r="ABA40" s="139"/>
      <c r="ABB40" s="139"/>
      <c r="ABC40" s="139"/>
      <c r="ABD40" s="139"/>
      <c r="ABE40" s="139"/>
      <c r="ABF40" s="139"/>
      <c r="ABG40" s="139"/>
      <c r="ABH40" s="139"/>
      <c r="ABI40" s="139"/>
      <c r="ABJ40" s="139"/>
      <c r="ABK40" s="139"/>
      <c r="ABL40" s="139"/>
      <c r="ABM40" s="139"/>
      <c r="ABN40" s="139"/>
      <c r="ABO40" s="139"/>
      <c r="ABP40" s="139"/>
      <c r="ABQ40" s="139"/>
      <c r="ABR40" s="139"/>
      <c r="ABS40" s="139"/>
      <c r="ABT40" s="139"/>
      <c r="ABU40" s="139"/>
      <c r="ABV40" s="139"/>
      <c r="ABW40" s="139"/>
      <c r="ABX40" s="139"/>
      <c r="ABY40" s="139"/>
      <c r="ABZ40" s="139"/>
      <c r="ACA40" s="139"/>
      <c r="ACB40" s="139"/>
      <c r="ACC40" s="139"/>
      <c r="ACD40" s="139"/>
      <c r="ACE40" s="139"/>
      <c r="ACF40" s="139"/>
      <c r="ACG40" s="139"/>
      <c r="ACH40" s="139"/>
      <c r="ACI40" s="139"/>
      <c r="ACJ40" s="139"/>
      <c r="ACK40" s="139"/>
      <c r="ACL40" s="139"/>
      <c r="ACM40" s="139"/>
      <c r="ACN40" s="139"/>
      <c r="ACO40" s="139"/>
      <c r="ACP40" s="139"/>
      <c r="ACQ40" s="139"/>
      <c r="ACR40" s="139"/>
      <c r="ACS40" s="139"/>
      <c r="ACT40" s="139"/>
      <c r="ACU40" s="139"/>
      <c r="ACV40" s="139"/>
      <c r="ACW40" s="139"/>
      <c r="ACX40" s="139"/>
      <c r="ACY40" s="139"/>
      <c r="ACZ40" s="139"/>
      <c r="ADA40" s="139"/>
      <c r="ADB40" s="139"/>
      <c r="ADC40" s="139"/>
      <c r="ADD40" s="139"/>
      <c r="ADE40" s="139"/>
      <c r="ADF40" s="139"/>
      <c r="ADG40" s="139"/>
      <c r="ADH40" s="139"/>
      <c r="ADI40" s="139"/>
      <c r="ADJ40" s="139"/>
      <c r="ADK40" s="139"/>
      <c r="ADL40" s="139"/>
      <c r="ADM40" s="139"/>
      <c r="ADN40" s="139"/>
      <c r="ADO40" s="139"/>
      <c r="ADP40" s="139"/>
      <c r="ADQ40" s="139"/>
      <c r="ADR40" s="139"/>
      <c r="ADS40" s="139"/>
      <c r="ADT40" s="139"/>
      <c r="ADU40" s="139"/>
      <c r="ADV40" s="139"/>
      <c r="ADW40" s="139"/>
      <c r="ADX40" s="139"/>
      <c r="ADY40" s="139"/>
      <c r="ADZ40" s="139"/>
      <c r="AEA40" s="139"/>
      <c r="AEB40" s="139"/>
      <c r="AEC40" s="139"/>
      <c r="AED40" s="139"/>
      <c r="AEE40" s="139"/>
      <c r="AEF40" s="139"/>
      <c r="AEG40" s="139"/>
      <c r="AEH40" s="139"/>
      <c r="AEI40" s="139"/>
      <c r="AEJ40" s="139"/>
      <c r="AEK40" s="139"/>
      <c r="AEL40" s="139"/>
      <c r="AEM40" s="139"/>
      <c r="AEN40" s="139"/>
      <c r="AEO40" s="139"/>
      <c r="AEP40" s="139"/>
      <c r="AEQ40" s="139"/>
      <c r="AER40" s="139"/>
      <c r="AES40" s="139"/>
      <c r="AET40" s="139"/>
      <c r="AEU40" s="139"/>
      <c r="AEV40" s="139"/>
      <c r="AEW40" s="139"/>
      <c r="AEX40" s="139"/>
      <c r="AEY40" s="139"/>
      <c r="AEZ40" s="139"/>
      <c r="AFA40" s="139"/>
      <c r="AFB40" s="139"/>
      <c r="AFC40" s="139"/>
      <c r="AFD40" s="139"/>
      <c r="AFE40" s="139"/>
      <c r="AFF40" s="139"/>
      <c r="AFG40" s="139"/>
      <c r="AFH40" s="139"/>
      <c r="AFI40" s="139"/>
      <c r="AFJ40" s="139"/>
      <c r="AFK40" s="139"/>
      <c r="AFL40" s="139"/>
      <c r="AFM40" s="139"/>
      <c r="AFN40" s="139"/>
      <c r="AFO40" s="139"/>
      <c r="AFP40" s="139"/>
      <c r="AFQ40" s="139"/>
      <c r="AFR40" s="139"/>
      <c r="AFS40" s="139"/>
      <c r="AFT40" s="139"/>
      <c r="AFU40" s="139"/>
      <c r="AFV40" s="139"/>
      <c r="AFW40" s="139"/>
      <c r="AFX40" s="139"/>
      <c r="AFY40" s="139"/>
      <c r="AFZ40" s="139"/>
      <c r="AGA40" s="139"/>
      <c r="AGB40" s="139"/>
      <c r="AGC40" s="139"/>
      <c r="AGD40" s="139"/>
      <c r="AGE40" s="139"/>
      <c r="AGF40" s="139"/>
      <c r="AGG40" s="139"/>
      <c r="AGH40" s="139"/>
      <c r="AGI40" s="139"/>
      <c r="AGJ40" s="139"/>
      <c r="AGK40" s="139"/>
      <c r="AGL40" s="139"/>
      <c r="AGM40" s="139"/>
      <c r="AGN40" s="139"/>
      <c r="AGO40" s="139"/>
      <c r="AGP40" s="139"/>
      <c r="AGQ40" s="139"/>
      <c r="AGR40" s="139"/>
      <c r="AGS40" s="139"/>
      <c r="AGT40" s="139"/>
      <c r="AGU40" s="139"/>
      <c r="AGV40" s="139"/>
      <c r="AGW40" s="139"/>
      <c r="AGX40" s="139"/>
      <c r="AGY40" s="139"/>
      <c r="AGZ40" s="139"/>
      <c r="AHA40" s="139"/>
      <c r="AHB40" s="139"/>
      <c r="AHC40" s="139"/>
      <c r="AHD40" s="139"/>
      <c r="AHE40" s="139"/>
      <c r="AHF40" s="139"/>
      <c r="AHG40" s="139"/>
      <c r="AHH40" s="139"/>
      <c r="AHI40" s="139"/>
      <c r="AHJ40" s="139"/>
      <c r="AHK40" s="139"/>
      <c r="AHL40" s="139"/>
      <c r="AHM40" s="139"/>
      <c r="AHN40" s="139"/>
      <c r="AHO40" s="139"/>
      <c r="AHP40" s="139"/>
      <c r="AHQ40" s="139"/>
      <c r="AHR40" s="139"/>
      <c r="AHS40" s="139"/>
      <c r="AHT40" s="139"/>
      <c r="AHU40" s="139"/>
      <c r="AHV40" s="139"/>
      <c r="AHW40" s="139"/>
      <c r="AHX40" s="139"/>
      <c r="AHY40" s="139"/>
      <c r="AHZ40" s="139"/>
      <c r="AIA40" s="139"/>
      <c r="AIB40" s="139"/>
      <c r="AIC40" s="139"/>
      <c r="AID40" s="139"/>
      <c r="AIE40" s="139"/>
      <c r="AIF40" s="139"/>
      <c r="AIG40" s="139"/>
      <c r="AIH40" s="139"/>
      <c r="AII40" s="139"/>
      <c r="AIJ40" s="139"/>
      <c r="AIK40" s="139"/>
      <c r="AIL40" s="139"/>
      <c r="AIM40" s="139"/>
      <c r="AIN40" s="139"/>
      <c r="AIO40" s="139"/>
      <c r="AIP40" s="139"/>
      <c r="AIQ40" s="139"/>
      <c r="AIR40" s="139"/>
      <c r="AIS40" s="139"/>
      <c r="AIT40" s="139"/>
      <c r="AIU40" s="139"/>
      <c r="AIV40" s="139"/>
      <c r="AIW40" s="139"/>
      <c r="AIX40" s="139"/>
      <c r="AIY40" s="139"/>
      <c r="AIZ40" s="139"/>
      <c r="AJA40" s="139"/>
      <c r="AJB40" s="139"/>
      <c r="AJC40" s="139"/>
      <c r="AJD40" s="139"/>
      <c r="AJE40" s="139"/>
      <c r="AJF40" s="139"/>
      <c r="AJG40" s="139"/>
      <c r="AJH40" s="139"/>
      <c r="AJI40" s="139"/>
      <c r="AJJ40" s="139"/>
      <c r="AJK40" s="139"/>
      <c r="AJL40" s="139"/>
      <c r="AJM40" s="139"/>
      <c r="AJN40" s="139"/>
      <c r="AJO40" s="139"/>
      <c r="AJP40" s="139"/>
      <c r="AJQ40" s="139"/>
      <c r="AJR40" s="139"/>
      <c r="AJS40" s="139"/>
      <c r="AJT40" s="139"/>
      <c r="AJU40" s="139"/>
      <c r="AJV40" s="139"/>
      <c r="AJW40" s="139"/>
      <c r="AJX40" s="139"/>
      <c r="AJY40" s="139"/>
      <c r="AJZ40" s="139"/>
      <c r="AKA40" s="139"/>
      <c r="AKB40" s="139"/>
      <c r="AKC40" s="139"/>
      <c r="AKD40" s="139"/>
      <c r="AKE40" s="139"/>
      <c r="AKF40" s="139"/>
      <c r="AKG40" s="139"/>
      <c r="AKH40" s="139"/>
      <c r="AKI40" s="139"/>
      <c r="AKJ40" s="139"/>
      <c r="AKK40" s="139"/>
      <c r="AKL40" s="139"/>
      <c r="AKM40" s="139"/>
      <c r="AKN40" s="139"/>
      <c r="AKO40" s="139"/>
      <c r="AKP40" s="139"/>
      <c r="AKQ40" s="139"/>
      <c r="AKR40" s="139"/>
      <c r="AKS40" s="139"/>
      <c r="AKT40" s="139"/>
      <c r="AKU40" s="139"/>
      <c r="AKV40" s="139"/>
      <c r="AKW40" s="139"/>
      <c r="AKX40" s="139"/>
      <c r="AKY40" s="139"/>
      <c r="AKZ40" s="139"/>
      <c r="ALA40" s="139"/>
      <c r="ALB40" s="139"/>
      <c r="ALC40" s="139"/>
      <c r="ALD40" s="139"/>
      <c r="ALE40" s="139"/>
      <c r="ALF40" s="139"/>
      <c r="ALG40" s="139"/>
      <c r="ALH40" s="139"/>
      <c r="ALI40" s="139"/>
      <c r="ALJ40" s="139"/>
      <c r="ALK40" s="139"/>
      <c r="ALL40" s="139"/>
      <c r="ALM40" s="139"/>
      <c r="ALN40" s="139"/>
      <c r="ALO40" s="139"/>
      <c r="ALP40" s="139"/>
      <c r="ALQ40" s="139"/>
      <c r="ALR40" s="139"/>
      <c r="ALS40" s="139"/>
      <c r="ALT40" s="139"/>
      <c r="ALU40" s="139"/>
      <c r="ALV40" s="139"/>
      <c r="ALW40" s="139"/>
      <c r="ALX40" s="139"/>
      <c r="ALY40" s="139"/>
      <c r="ALZ40" s="139"/>
      <c r="AMA40" s="139"/>
      <c r="AMB40" s="139"/>
      <c r="AMC40" s="139"/>
      <c r="AMD40" s="139"/>
      <c r="AME40" s="139"/>
      <c r="AMF40" s="139"/>
      <c r="AMG40" s="139"/>
      <c r="AMH40" s="139"/>
      <c r="AMI40" s="139"/>
      <c r="AMJ40" s="139"/>
    </row>
    <row r="41" spans="1:1024" s="140" customFormat="1" x14ac:dyDescent="0.25">
      <c r="A41" s="139"/>
      <c r="B41" s="182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39"/>
      <c r="EL41" s="139"/>
      <c r="EM41" s="139"/>
      <c r="EN41" s="139"/>
      <c r="EO41" s="139"/>
      <c r="EP41" s="139"/>
      <c r="EQ41" s="139"/>
      <c r="ER41" s="139"/>
      <c r="ES41" s="139"/>
      <c r="ET41" s="139"/>
      <c r="EU41" s="139"/>
      <c r="EV41" s="139"/>
      <c r="EW41" s="139"/>
      <c r="EX41" s="139"/>
      <c r="EY41" s="139"/>
      <c r="EZ41" s="139"/>
      <c r="FA41" s="139"/>
      <c r="FB41" s="139"/>
      <c r="FC41" s="139"/>
      <c r="FD41" s="139"/>
      <c r="FE41" s="139"/>
      <c r="FF41" s="139"/>
      <c r="FG41" s="139"/>
      <c r="FH41" s="139"/>
      <c r="FI41" s="139"/>
      <c r="FJ41" s="139"/>
      <c r="FK41" s="139"/>
      <c r="FL41" s="139"/>
      <c r="FM41" s="139"/>
      <c r="FN41" s="139"/>
      <c r="FO41" s="139"/>
      <c r="FP41" s="139"/>
      <c r="FQ41" s="139"/>
      <c r="FR41" s="139"/>
      <c r="FS41" s="139"/>
      <c r="FT41" s="139"/>
      <c r="FU41" s="139"/>
      <c r="FV41" s="139"/>
      <c r="FW41" s="139"/>
      <c r="FX41" s="139"/>
      <c r="FY41" s="139"/>
      <c r="FZ41" s="139"/>
      <c r="GA41" s="139"/>
      <c r="GB41" s="139"/>
      <c r="GC41" s="139"/>
      <c r="GD41" s="139"/>
      <c r="GE41" s="139"/>
      <c r="GF41" s="139"/>
      <c r="GG41" s="139"/>
      <c r="GH41" s="139"/>
      <c r="GI41" s="139"/>
      <c r="GJ41" s="139"/>
      <c r="GK41" s="139"/>
      <c r="GL41" s="139"/>
      <c r="GM41" s="139"/>
      <c r="GN41" s="139"/>
      <c r="GO41" s="139"/>
      <c r="GP41" s="139"/>
      <c r="GQ41" s="139"/>
      <c r="GR41" s="139"/>
      <c r="GS41" s="139"/>
      <c r="GT41" s="139"/>
      <c r="GU41" s="139"/>
      <c r="GV41" s="139"/>
      <c r="GW41" s="139"/>
      <c r="GX41" s="139"/>
      <c r="GY41" s="139"/>
      <c r="GZ41" s="139"/>
      <c r="HA41" s="139"/>
      <c r="HB41" s="139"/>
      <c r="HC41" s="139"/>
      <c r="HD41" s="139"/>
      <c r="HE41" s="139"/>
      <c r="HF41" s="139"/>
      <c r="HG41" s="139"/>
      <c r="HH41" s="139"/>
      <c r="HI41" s="139"/>
      <c r="HJ41" s="139"/>
      <c r="HK41" s="139"/>
      <c r="HL41" s="139"/>
      <c r="HM41" s="139"/>
      <c r="HN41" s="139"/>
      <c r="HO41" s="139"/>
      <c r="HP41" s="139"/>
      <c r="HQ41" s="139"/>
      <c r="HR41" s="139"/>
      <c r="HS41" s="139"/>
      <c r="HT41" s="139"/>
      <c r="HU41" s="139"/>
      <c r="HV41" s="139"/>
      <c r="HW41" s="139"/>
      <c r="HX41" s="139"/>
      <c r="HY41" s="139"/>
      <c r="HZ41" s="139"/>
      <c r="IA41" s="139"/>
      <c r="IB41" s="139"/>
      <c r="IC41" s="139"/>
      <c r="ID41" s="139"/>
      <c r="IE41" s="139"/>
      <c r="IF41" s="139"/>
      <c r="IG41" s="139"/>
      <c r="IH41" s="139"/>
      <c r="II41" s="139"/>
      <c r="IJ41" s="139"/>
      <c r="IK41" s="139"/>
      <c r="IL41" s="139"/>
      <c r="IM41" s="139"/>
      <c r="IN41" s="139"/>
      <c r="IO41" s="139"/>
      <c r="IP41" s="139"/>
      <c r="IQ41" s="139"/>
      <c r="IR41" s="139"/>
      <c r="IS41" s="139"/>
      <c r="IT41" s="139"/>
      <c r="IU41" s="139"/>
      <c r="IV41" s="139"/>
      <c r="IW41" s="139"/>
      <c r="IX41" s="139"/>
      <c r="IY41" s="139"/>
      <c r="IZ41" s="139"/>
      <c r="JA41" s="139"/>
      <c r="JB41" s="139"/>
      <c r="JC41" s="139"/>
      <c r="JD41" s="139"/>
      <c r="JE41" s="139"/>
      <c r="JF41" s="139"/>
      <c r="JG41" s="139"/>
      <c r="JH41" s="139"/>
      <c r="JI41" s="139"/>
      <c r="JJ41" s="139"/>
      <c r="JK41" s="139"/>
      <c r="JL41" s="139"/>
      <c r="JM41" s="139"/>
      <c r="JN41" s="139"/>
      <c r="JO41" s="139"/>
      <c r="JP41" s="139"/>
      <c r="JQ41" s="139"/>
      <c r="JR41" s="139"/>
      <c r="JS41" s="139"/>
      <c r="JT41" s="139"/>
      <c r="JU41" s="139"/>
      <c r="JV41" s="139"/>
      <c r="JW41" s="139"/>
      <c r="JX41" s="139"/>
      <c r="JY41" s="139"/>
      <c r="JZ41" s="139"/>
      <c r="KA41" s="139"/>
      <c r="KB41" s="139"/>
      <c r="KC41" s="139"/>
      <c r="KD41" s="139"/>
      <c r="KE41" s="139"/>
      <c r="KF41" s="139"/>
      <c r="KG41" s="139"/>
      <c r="KH41" s="139"/>
      <c r="KI41" s="139"/>
      <c r="KJ41" s="139"/>
      <c r="KK41" s="139"/>
      <c r="KL41" s="139"/>
      <c r="KM41" s="139"/>
      <c r="KN41" s="139"/>
      <c r="KO41" s="139"/>
      <c r="KP41" s="139"/>
      <c r="KQ41" s="139"/>
      <c r="KR41" s="139"/>
      <c r="KS41" s="139"/>
      <c r="KT41" s="139"/>
      <c r="KU41" s="139"/>
      <c r="KV41" s="139"/>
      <c r="KW41" s="139"/>
      <c r="KX41" s="139"/>
      <c r="KY41" s="139"/>
      <c r="KZ41" s="139"/>
      <c r="LA41" s="139"/>
      <c r="LB41" s="139"/>
      <c r="LC41" s="139"/>
      <c r="LD41" s="139"/>
      <c r="LE41" s="139"/>
      <c r="LF41" s="139"/>
      <c r="LG41" s="139"/>
      <c r="LH41" s="139"/>
      <c r="LI41" s="139"/>
      <c r="LJ41" s="139"/>
      <c r="LK41" s="139"/>
      <c r="LL41" s="139"/>
      <c r="LM41" s="139"/>
      <c r="LN41" s="139"/>
      <c r="LO41" s="139"/>
      <c r="LP41" s="139"/>
      <c r="LQ41" s="139"/>
      <c r="LR41" s="139"/>
      <c r="LS41" s="139"/>
      <c r="LT41" s="139"/>
      <c r="LU41" s="139"/>
      <c r="LV41" s="139"/>
      <c r="LW41" s="139"/>
      <c r="LX41" s="139"/>
      <c r="LY41" s="139"/>
      <c r="LZ41" s="139"/>
      <c r="MA41" s="139"/>
      <c r="MB41" s="139"/>
      <c r="MC41" s="139"/>
      <c r="MD41" s="139"/>
      <c r="ME41" s="139"/>
      <c r="MF41" s="139"/>
      <c r="MG41" s="139"/>
      <c r="MH41" s="139"/>
      <c r="MI41" s="139"/>
      <c r="MJ41" s="139"/>
      <c r="MK41" s="139"/>
      <c r="ML41" s="139"/>
      <c r="MM41" s="139"/>
      <c r="MN41" s="139"/>
      <c r="MO41" s="139"/>
      <c r="MP41" s="139"/>
      <c r="MQ41" s="139"/>
      <c r="MR41" s="139"/>
      <c r="MS41" s="139"/>
      <c r="MT41" s="139"/>
      <c r="MU41" s="139"/>
      <c r="MV41" s="139"/>
      <c r="MW41" s="139"/>
      <c r="MX41" s="139"/>
      <c r="MY41" s="139"/>
      <c r="MZ41" s="139"/>
      <c r="NA41" s="139"/>
      <c r="NB41" s="139"/>
      <c r="NC41" s="139"/>
      <c r="ND41" s="139"/>
      <c r="NE41" s="139"/>
      <c r="NF41" s="139"/>
      <c r="NG41" s="139"/>
      <c r="NH41" s="139"/>
      <c r="NI41" s="139"/>
      <c r="NJ41" s="139"/>
      <c r="NK41" s="139"/>
      <c r="NL41" s="139"/>
      <c r="NM41" s="139"/>
      <c r="NN41" s="139"/>
      <c r="NO41" s="139"/>
      <c r="NP41" s="139"/>
      <c r="NQ41" s="139"/>
      <c r="NR41" s="139"/>
      <c r="NS41" s="139"/>
      <c r="NT41" s="139"/>
      <c r="NU41" s="139"/>
      <c r="NV41" s="139"/>
      <c r="NW41" s="139"/>
      <c r="NX41" s="139"/>
      <c r="NY41" s="139"/>
      <c r="NZ41" s="139"/>
      <c r="OA41" s="139"/>
      <c r="OB41" s="139"/>
      <c r="OC41" s="139"/>
      <c r="OD41" s="139"/>
      <c r="OE41" s="139"/>
      <c r="OF41" s="139"/>
      <c r="OG41" s="139"/>
      <c r="OH41" s="139"/>
      <c r="OI41" s="139"/>
      <c r="OJ41" s="139"/>
      <c r="OK41" s="139"/>
      <c r="OL41" s="139"/>
      <c r="OM41" s="139"/>
      <c r="ON41" s="139"/>
      <c r="OO41" s="139"/>
      <c r="OP41" s="139"/>
      <c r="OQ41" s="139"/>
      <c r="OR41" s="139"/>
      <c r="OS41" s="139"/>
      <c r="OT41" s="139"/>
      <c r="OU41" s="139"/>
      <c r="OV41" s="139"/>
      <c r="OW41" s="139"/>
      <c r="OX41" s="139"/>
      <c r="OY41" s="139"/>
      <c r="OZ41" s="139"/>
      <c r="PA41" s="139"/>
      <c r="PB41" s="139"/>
      <c r="PC41" s="139"/>
      <c r="PD41" s="139"/>
      <c r="PE41" s="139"/>
      <c r="PF41" s="139"/>
      <c r="PG41" s="139"/>
      <c r="PH41" s="139"/>
      <c r="PI41" s="139"/>
      <c r="PJ41" s="139"/>
      <c r="PK41" s="139"/>
      <c r="PL41" s="139"/>
      <c r="PM41" s="139"/>
      <c r="PN41" s="139"/>
      <c r="PO41" s="139"/>
      <c r="PP41" s="139"/>
      <c r="PQ41" s="139"/>
      <c r="PR41" s="139"/>
      <c r="PS41" s="139"/>
      <c r="PT41" s="139"/>
      <c r="PU41" s="139"/>
      <c r="PV41" s="139"/>
      <c r="PW41" s="139"/>
      <c r="PX41" s="139"/>
      <c r="PY41" s="139"/>
      <c r="PZ41" s="139"/>
      <c r="QA41" s="139"/>
      <c r="QB41" s="139"/>
      <c r="QC41" s="139"/>
      <c r="QD41" s="139"/>
      <c r="QE41" s="139"/>
      <c r="QF41" s="139"/>
      <c r="QG41" s="139"/>
      <c r="QH41" s="139"/>
      <c r="QI41" s="139"/>
      <c r="QJ41" s="139"/>
      <c r="QK41" s="139"/>
      <c r="QL41" s="139"/>
      <c r="QM41" s="139"/>
      <c r="QN41" s="139"/>
      <c r="QO41" s="139"/>
      <c r="QP41" s="139"/>
      <c r="QQ41" s="139"/>
      <c r="QR41" s="139"/>
      <c r="QS41" s="139"/>
      <c r="QT41" s="139"/>
      <c r="QU41" s="139"/>
      <c r="QV41" s="139"/>
      <c r="QW41" s="139"/>
      <c r="QX41" s="139"/>
      <c r="QY41" s="139"/>
      <c r="QZ41" s="139"/>
      <c r="RA41" s="139"/>
      <c r="RB41" s="139"/>
      <c r="RC41" s="139"/>
      <c r="RD41" s="139"/>
      <c r="RE41" s="139"/>
      <c r="RF41" s="139"/>
      <c r="RG41" s="139"/>
      <c r="RH41" s="139"/>
      <c r="RI41" s="139"/>
      <c r="RJ41" s="139"/>
      <c r="RK41" s="139"/>
      <c r="RL41" s="139"/>
      <c r="RM41" s="139"/>
      <c r="RN41" s="139"/>
      <c r="RO41" s="139"/>
      <c r="RP41" s="139"/>
      <c r="RQ41" s="139"/>
      <c r="RR41" s="139"/>
      <c r="RS41" s="139"/>
      <c r="RT41" s="139"/>
      <c r="RU41" s="139"/>
      <c r="RV41" s="139"/>
      <c r="RW41" s="139"/>
      <c r="RX41" s="139"/>
      <c r="RY41" s="139"/>
      <c r="RZ41" s="139"/>
      <c r="SA41" s="139"/>
      <c r="SB41" s="139"/>
      <c r="SC41" s="139"/>
      <c r="SD41" s="139"/>
      <c r="SE41" s="139"/>
      <c r="SF41" s="139"/>
      <c r="SG41" s="139"/>
      <c r="SH41" s="139"/>
      <c r="SI41" s="139"/>
      <c r="SJ41" s="139"/>
      <c r="SK41" s="139"/>
      <c r="SL41" s="139"/>
      <c r="SM41" s="139"/>
      <c r="SN41" s="139"/>
      <c r="SO41" s="139"/>
      <c r="SP41" s="139"/>
      <c r="SQ41" s="139"/>
      <c r="SR41" s="139"/>
      <c r="SS41" s="139"/>
      <c r="ST41" s="139"/>
      <c r="SU41" s="139"/>
      <c r="SV41" s="139"/>
      <c r="SW41" s="139"/>
      <c r="SX41" s="139"/>
      <c r="SY41" s="139"/>
      <c r="SZ41" s="139"/>
      <c r="TA41" s="139"/>
      <c r="TB41" s="139"/>
      <c r="TC41" s="139"/>
      <c r="TD41" s="139"/>
      <c r="TE41" s="139"/>
      <c r="TF41" s="139"/>
      <c r="TG41" s="139"/>
      <c r="TH41" s="139"/>
      <c r="TI41" s="139"/>
      <c r="TJ41" s="139"/>
      <c r="TK41" s="139"/>
      <c r="TL41" s="139"/>
      <c r="TM41" s="139"/>
      <c r="TN41" s="139"/>
      <c r="TO41" s="139"/>
      <c r="TP41" s="139"/>
      <c r="TQ41" s="139"/>
      <c r="TR41" s="139"/>
      <c r="TS41" s="139"/>
      <c r="TT41" s="139"/>
      <c r="TU41" s="139"/>
      <c r="TV41" s="139"/>
      <c r="TW41" s="139"/>
      <c r="TX41" s="139"/>
      <c r="TY41" s="139"/>
      <c r="TZ41" s="139"/>
      <c r="UA41" s="139"/>
      <c r="UB41" s="139"/>
      <c r="UC41" s="139"/>
      <c r="UD41" s="139"/>
      <c r="UE41" s="139"/>
      <c r="UF41" s="139"/>
      <c r="UG41" s="139"/>
      <c r="UH41" s="139"/>
      <c r="UI41" s="139"/>
      <c r="UJ41" s="139"/>
      <c r="UK41" s="139"/>
      <c r="UL41" s="139"/>
      <c r="UM41" s="139"/>
      <c r="UN41" s="139"/>
      <c r="UO41" s="139"/>
      <c r="UP41" s="139"/>
      <c r="UQ41" s="139"/>
      <c r="UR41" s="139"/>
      <c r="US41" s="139"/>
      <c r="UT41" s="139"/>
      <c r="UU41" s="139"/>
      <c r="UV41" s="139"/>
      <c r="UW41" s="139"/>
      <c r="UX41" s="139"/>
      <c r="UY41" s="139"/>
      <c r="UZ41" s="139"/>
      <c r="VA41" s="139"/>
      <c r="VB41" s="139"/>
      <c r="VC41" s="139"/>
      <c r="VD41" s="139"/>
      <c r="VE41" s="139"/>
      <c r="VF41" s="139"/>
      <c r="VG41" s="139"/>
      <c r="VH41" s="139"/>
      <c r="VI41" s="139"/>
      <c r="VJ41" s="139"/>
      <c r="VK41" s="139"/>
      <c r="VL41" s="139"/>
      <c r="VM41" s="139"/>
      <c r="VN41" s="139"/>
      <c r="VO41" s="139"/>
      <c r="VP41" s="139"/>
      <c r="VQ41" s="139"/>
      <c r="VR41" s="139"/>
      <c r="VS41" s="139"/>
      <c r="VT41" s="139"/>
      <c r="VU41" s="139"/>
      <c r="VV41" s="139"/>
      <c r="VW41" s="139"/>
      <c r="VX41" s="139"/>
      <c r="VY41" s="139"/>
      <c r="VZ41" s="139"/>
      <c r="WA41" s="139"/>
      <c r="WB41" s="139"/>
      <c r="WC41" s="139"/>
      <c r="WD41" s="139"/>
      <c r="WE41" s="139"/>
      <c r="WF41" s="139"/>
      <c r="WG41" s="139"/>
      <c r="WH41" s="139"/>
      <c r="WI41" s="139"/>
      <c r="WJ41" s="139"/>
      <c r="WK41" s="139"/>
      <c r="WL41" s="139"/>
      <c r="WM41" s="139"/>
      <c r="WN41" s="139"/>
      <c r="WO41" s="139"/>
      <c r="WP41" s="139"/>
      <c r="WQ41" s="139"/>
      <c r="WR41" s="139"/>
      <c r="WS41" s="139"/>
      <c r="WT41" s="139"/>
      <c r="WU41" s="139"/>
      <c r="WV41" s="139"/>
      <c r="WW41" s="139"/>
      <c r="WX41" s="139"/>
      <c r="WY41" s="139"/>
      <c r="WZ41" s="139"/>
      <c r="XA41" s="139"/>
      <c r="XB41" s="139"/>
      <c r="XC41" s="139"/>
      <c r="XD41" s="139"/>
      <c r="XE41" s="139"/>
      <c r="XF41" s="139"/>
      <c r="XG41" s="139"/>
      <c r="XH41" s="139"/>
      <c r="XI41" s="139"/>
      <c r="XJ41" s="139"/>
      <c r="XK41" s="139"/>
      <c r="XL41" s="139"/>
      <c r="XM41" s="139"/>
      <c r="XN41" s="139"/>
      <c r="XO41" s="139"/>
      <c r="XP41" s="139"/>
      <c r="XQ41" s="139"/>
      <c r="XR41" s="139"/>
      <c r="XS41" s="139"/>
      <c r="XT41" s="139"/>
      <c r="XU41" s="139"/>
      <c r="XV41" s="139"/>
      <c r="XW41" s="139"/>
      <c r="XX41" s="139"/>
      <c r="XY41" s="139"/>
      <c r="XZ41" s="139"/>
      <c r="YA41" s="139"/>
      <c r="YB41" s="139"/>
      <c r="YC41" s="139"/>
      <c r="YD41" s="139"/>
      <c r="YE41" s="139"/>
      <c r="YF41" s="139"/>
      <c r="YG41" s="139"/>
      <c r="YH41" s="139"/>
      <c r="YI41" s="139"/>
      <c r="YJ41" s="139"/>
      <c r="YK41" s="139"/>
      <c r="YL41" s="139"/>
      <c r="YM41" s="139"/>
      <c r="YN41" s="139"/>
      <c r="YO41" s="139"/>
      <c r="YP41" s="139"/>
      <c r="YQ41" s="139"/>
      <c r="YR41" s="139"/>
      <c r="YS41" s="139"/>
      <c r="YT41" s="139"/>
      <c r="YU41" s="139"/>
      <c r="YV41" s="139"/>
      <c r="YW41" s="139"/>
      <c r="YX41" s="139"/>
      <c r="YY41" s="139"/>
      <c r="YZ41" s="139"/>
      <c r="ZA41" s="139"/>
      <c r="ZB41" s="139"/>
      <c r="ZC41" s="139"/>
      <c r="ZD41" s="139"/>
      <c r="ZE41" s="139"/>
      <c r="ZF41" s="139"/>
      <c r="ZG41" s="139"/>
      <c r="ZH41" s="139"/>
      <c r="ZI41" s="139"/>
      <c r="ZJ41" s="139"/>
      <c r="ZK41" s="139"/>
      <c r="ZL41" s="139"/>
      <c r="ZM41" s="139"/>
      <c r="ZN41" s="139"/>
      <c r="ZO41" s="139"/>
      <c r="ZP41" s="139"/>
      <c r="ZQ41" s="139"/>
      <c r="ZR41" s="139"/>
      <c r="ZS41" s="139"/>
      <c r="ZT41" s="139"/>
      <c r="ZU41" s="139"/>
      <c r="ZV41" s="139"/>
      <c r="ZW41" s="139"/>
      <c r="ZX41" s="139"/>
      <c r="ZY41" s="139"/>
      <c r="ZZ41" s="139"/>
      <c r="AAA41" s="139"/>
      <c r="AAB41" s="139"/>
      <c r="AAC41" s="139"/>
      <c r="AAD41" s="139"/>
      <c r="AAE41" s="139"/>
      <c r="AAF41" s="139"/>
      <c r="AAG41" s="139"/>
      <c r="AAH41" s="139"/>
      <c r="AAI41" s="139"/>
      <c r="AAJ41" s="139"/>
      <c r="AAK41" s="139"/>
      <c r="AAL41" s="139"/>
      <c r="AAM41" s="139"/>
      <c r="AAN41" s="139"/>
      <c r="AAO41" s="139"/>
      <c r="AAP41" s="139"/>
      <c r="AAQ41" s="139"/>
      <c r="AAR41" s="139"/>
      <c r="AAS41" s="139"/>
      <c r="AAT41" s="139"/>
      <c r="AAU41" s="139"/>
      <c r="AAV41" s="139"/>
      <c r="AAW41" s="139"/>
      <c r="AAX41" s="139"/>
      <c r="AAY41" s="139"/>
      <c r="AAZ41" s="139"/>
      <c r="ABA41" s="139"/>
      <c r="ABB41" s="139"/>
      <c r="ABC41" s="139"/>
      <c r="ABD41" s="139"/>
      <c r="ABE41" s="139"/>
      <c r="ABF41" s="139"/>
      <c r="ABG41" s="139"/>
      <c r="ABH41" s="139"/>
      <c r="ABI41" s="139"/>
      <c r="ABJ41" s="139"/>
      <c r="ABK41" s="139"/>
      <c r="ABL41" s="139"/>
      <c r="ABM41" s="139"/>
      <c r="ABN41" s="139"/>
      <c r="ABO41" s="139"/>
      <c r="ABP41" s="139"/>
      <c r="ABQ41" s="139"/>
      <c r="ABR41" s="139"/>
      <c r="ABS41" s="139"/>
      <c r="ABT41" s="139"/>
      <c r="ABU41" s="139"/>
      <c r="ABV41" s="139"/>
      <c r="ABW41" s="139"/>
      <c r="ABX41" s="139"/>
      <c r="ABY41" s="139"/>
      <c r="ABZ41" s="139"/>
      <c r="ACA41" s="139"/>
      <c r="ACB41" s="139"/>
      <c r="ACC41" s="139"/>
      <c r="ACD41" s="139"/>
      <c r="ACE41" s="139"/>
      <c r="ACF41" s="139"/>
      <c r="ACG41" s="139"/>
      <c r="ACH41" s="139"/>
      <c r="ACI41" s="139"/>
      <c r="ACJ41" s="139"/>
      <c r="ACK41" s="139"/>
      <c r="ACL41" s="139"/>
      <c r="ACM41" s="139"/>
      <c r="ACN41" s="139"/>
      <c r="ACO41" s="139"/>
      <c r="ACP41" s="139"/>
      <c r="ACQ41" s="139"/>
      <c r="ACR41" s="139"/>
      <c r="ACS41" s="139"/>
      <c r="ACT41" s="139"/>
      <c r="ACU41" s="139"/>
      <c r="ACV41" s="139"/>
      <c r="ACW41" s="139"/>
      <c r="ACX41" s="139"/>
      <c r="ACY41" s="139"/>
      <c r="ACZ41" s="139"/>
      <c r="ADA41" s="139"/>
      <c r="ADB41" s="139"/>
      <c r="ADC41" s="139"/>
      <c r="ADD41" s="139"/>
      <c r="ADE41" s="139"/>
      <c r="ADF41" s="139"/>
      <c r="ADG41" s="139"/>
      <c r="ADH41" s="139"/>
      <c r="ADI41" s="139"/>
      <c r="ADJ41" s="139"/>
      <c r="ADK41" s="139"/>
      <c r="ADL41" s="139"/>
      <c r="ADM41" s="139"/>
      <c r="ADN41" s="139"/>
      <c r="ADO41" s="139"/>
      <c r="ADP41" s="139"/>
      <c r="ADQ41" s="139"/>
      <c r="ADR41" s="139"/>
      <c r="ADS41" s="139"/>
      <c r="ADT41" s="139"/>
      <c r="ADU41" s="139"/>
      <c r="ADV41" s="139"/>
      <c r="ADW41" s="139"/>
      <c r="ADX41" s="139"/>
      <c r="ADY41" s="139"/>
      <c r="ADZ41" s="139"/>
      <c r="AEA41" s="139"/>
      <c r="AEB41" s="139"/>
      <c r="AEC41" s="139"/>
      <c r="AED41" s="139"/>
      <c r="AEE41" s="139"/>
      <c r="AEF41" s="139"/>
      <c r="AEG41" s="139"/>
      <c r="AEH41" s="139"/>
      <c r="AEI41" s="139"/>
      <c r="AEJ41" s="139"/>
      <c r="AEK41" s="139"/>
      <c r="AEL41" s="139"/>
      <c r="AEM41" s="139"/>
      <c r="AEN41" s="139"/>
      <c r="AEO41" s="139"/>
      <c r="AEP41" s="139"/>
      <c r="AEQ41" s="139"/>
      <c r="AER41" s="139"/>
      <c r="AES41" s="139"/>
      <c r="AET41" s="139"/>
      <c r="AEU41" s="139"/>
      <c r="AEV41" s="139"/>
      <c r="AEW41" s="139"/>
      <c r="AEX41" s="139"/>
      <c r="AEY41" s="139"/>
      <c r="AEZ41" s="139"/>
      <c r="AFA41" s="139"/>
      <c r="AFB41" s="139"/>
      <c r="AFC41" s="139"/>
      <c r="AFD41" s="139"/>
      <c r="AFE41" s="139"/>
      <c r="AFF41" s="139"/>
      <c r="AFG41" s="139"/>
      <c r="AFH41" s="139"/>
      <c r="AFI41" s="139"/>
      <c r="AFJ41" s="139"/>
      <c r="AFK41" s="139"/>
      <c r="AFL41" s="139"/>
      <c r="AFM41" s="139"/>
      <c r="AFN41" s="139"/>
      <c r="AFO41" s="139"/>
      <c r="AFP41" s="139"/>
      <c r="AFQ41" s="139"/>
      <c r="AFR41" s="139"/>
      <c r="AFS41" s="139"/>
      <c r="AFT41" s="139"/>
      <c r="AFU41" s="139"/>
      <c r="AFV41" s="139"/>
      <c r="AFW41" s="139"/>
      <c r="AFX41" s="139"/>
      <c r="AFY41" s="139"/>
      <c r="AFZ41" s="139"/>
      <c r="AGA41" s="139"/>
      <c r="AGB41" s="139"/>
      <c r="AGC41" s="139"/>
      <c r="AGD41" s="139"/>
      <c r="AGE41" s="139"/>
      <c r="AGF41" s="139"/>
      <c r="AGG41" s="139"/>
      <c r="AGH41" s="139"/>
      <c r="AGI41" s="139"/>
      <c r="AGJ41" s="139"/>
      <c r="AGK41" s="139"/>
      <c r="AGL41" s="139"/>
      <c r="AGM41" s="139"/>
      <c r="AGN41" s="139"/>
      <c r="AGO41" s="139"/>
      <c r="AGP41" s="139"/>
      <c r="AGQ41" s="139"/>
      <c r="AGR41" s="139"/>
      <c r="AGS41" s="139"/>
      <c r="AGT41" s="139"/>
      <c r="AGU41" s="139"/>
      <c r="AGV41" s="139"/>
      <c r="AGW41" s="139"/>
      <c r="AGX41" s="139"/>
      <c r="AGY41" s="139"/>
      <c r="AGZ41" s="139"/>
      <c r="AHA41" s="139"/>
      <c r="AHB41" s="139"/>
      <c r="AHC41" s="139"/>
      <c r="AHD41" s="139"/>
      <c r="AHE41" s="139"/>
      <c r="AHF41" s="139"/>
      <c r="AHG41" s="139"/>
      <c r="AHH41" s="139"/>
      <c r="AHI41" s="139"/>
      <c r="AHJ41" s="139"/>
      <c r="AHK41" s="139"/>
      <c r="AHL41" s="139"/>
      <c r="AHM41" s="139"/>
      <c r="AHN41" s="139"/>
      <c r="AHO41" s="139"/>
      <c r="AHP41" s="139"/>
      <c r="AHQ41" s="139"/>
      <c r="AHR41" s="139"/>
      <c r="AHS41" s="139"/>
      <c r="AHT41" s="139"/>
      <c r="AHU41" s="139"/>
      <c r="AHV41" s="139"/>
      <c r="AHW41" s="139"/>
      <c r="AHX41" s="139"/>
      <c r="AHY41" s="139"/>
      <c r="AHZ41" s="139"/>
      <c r="AIA41" s="139"/>
      <c r="AIB41" s="139"/>
      <c r="AIC41" s="139"/>
      <c r="AID41" s="139"/>
      <c r="AIE41" s="139"/>
      <c r="AIF41" s="139"/>
      <c r="AIG41" s="139"/>
      <c r="AIH41" s="139"/>
      <c r="AII41" s="139"/>
      <c r="AIJ41" s="139"/>
      <c r="AIK41" s="139"/>
      <c r="AIL41" s="139"/>
      <c r="AIM41" s="139"/>
      <c r="AIN41" s="139"/>
      <c r="AIO41" s="139"/>
      <c r="AIP41" s="139"/>
      <c r="AIQ41" s="139"/>
      <c r="AIR41" s="139"/>
      <c r="AIS41" s="139"/>
      <c r="AIT41" s="139"/>
      <c r="AIU41" s="139"/>
      <c r="AIV41" s="139"/>
      <c r="AIW41" s="139"/>
      <c r="AIX41" s="139"/>
      <c r="AIY41" s="139"/>
      <c r="AIZ41" s="139"/>
      <c r="AJA41" s="139"/>
      <c r="AJB41" s="139"/>
      <c r="AJC41" s="139"/>
      <c r="AJD41" s="139"/>
      <c r="AJE41" s="139"/>
      <c r="AJF41" s="139"/>
      <c r="AJG41" s="139"/>
      <c r="AJH41" s="139"/>
      <c r="AJI41" s="139"/>
      <c r="AJJ41" s="139"/>
      <c r="AJK41" s="139"/>
      <c r="AJL41" s="139"/>
      <c r="AJM41" s="139"/>
      <c r="AJN41" s="139"/>
      <c r="AJO41" s="139"/>
      <c r="AJP41" s="139"/>
      <c r="AJQ41" s="139"/>
      <c r="AJR41" s="139"/>
      <c r="AJS41" s="139"/>
      <c r="AJT41" s="139"/>
      <c r="AJU41" s="139"/>
      <c r="AJV41" s="139"/>
      <c r="AJW41" s="139"/>
      <c r="AJX41" s="139"/>
      <c r="AJY41" s="139"/>
      <c r="AJZ41" s="139"/>
      <c r="AKA41" s="139"/>
      <c r="AKB41" s="139"/>
      <c r="AKC41" s="139"/>
      <c r="AKD41" s="139"/>
      <c r="AKE41" s="139"/>
      <c r="AKF41" s="139"/>
      <c r="AKG41" s="139"/>
      <c r="AKH41" s="139"/>
      <c r="AKI41" s="139"/>
      <c r="AKJ41" s="139"/>
      <c r="AKK41" s="139"/>
      <c r="AKL41" s="139"/>
      <c r="AKM41" s="139"/>
      <c r="AKN41" s="139"/>
      <c r="AKO41" s="139"/>
      <c r="AKP41" s="139"/>
      <c r="AKQ41" s="139"/>
      <c r="AKR41" s="139"/>
      <c r="AKS41" s="139"/>
      <c r="AKT41" s="139"/>
      <c r="AKU41" s="139"/>
      <c r="AKV41" s="139"/>
      <c r="AKW41" s="139"/>
      <c r="AKX41" s="139"/>
      <c r="AKY41" s="139"/>
      <c r="AKZ41" s="139"/>
      <c r="ALA41" s="139"/>
      <c r="ALB41" s="139"/>
      <c r="ALC41" s="139"/>
      <c r="ALD41" s="139"/>
      <c r="ALE41" s="139"/>
      <c r="ALF41" s="139"/>
      <c r="ALG41" s="139"/>
      <c r="ALH41" s="139"/>
      <c r="ALI41" s="139"/>
      <c r="ALJ41" s="139"/>
      <c r="ALK41" s="139"/>
      <c r="ALL41" s="139"/>
      <c r="ALM41" s="139"/>
      <c r="ALN41" s="139"/>
      <c r="ALO41" s="139"/>
      <c r="ALP41" s="139"/>
      <c r="ALQ41" s="139"/>
      <c r="ALR41" s="139"/>
      <c r="ALS41" s="139"/>
      <c r="ALT41" s="139"/>
      <c r="ALU41" s="139"/>
      <c r="ALV41" s="139"/>
      <c r="ALW41" s="139"/>
      <c r="ALX41" s="139"/>
      <c r="ALY41" s="139"/>
      <c r="ALZ41" s="139"/>
      <c r="AMA41" s="139"/>
      <c r="AMB41" s="139"/>
      <c r="AMC41" s="139"/>
      <c r="AMD41" s="139"/>
      <c r="AME41" s="139"/>
      <c r="AMF41" s="139"/>
      <c r="AMG41" s="139"/>
      <c r="AMH41" s="139"/>
      <c r="AMI41" s="139"/>
      <c r="AMJ41" s="139"/>
    </row>
  </sheetData>
  <sheetProtection algorithmName="SHA-512" hashValue="7kZ8XDeVMysEOV7IfBeWPhMAFoHFvyoKbjmje3SJ/Wa45BqhNoQ/Eoy2HDxSqxPIUlK7ucngY8t2oyJGu72bpw==" saltValue="dHWQVBt7GS20lA85f3EyAg==" spinCount="100000" sheet="1" objects="1" scenarios="1"/>
  <mergeCells count="18">
    <mergeCell ref="A1:Y1"/>
    <mergeCell ref="A2:M2"/>
    <mergeCell ref="A3:L3"/>
    <mergeCell ref="B4:L4"/>
    <mergeCell ref="B5:O5"/>
    <mergeCell ref="A21:L21"/>
    <mergeCell ref="A29:L29"/>
    <mergeCell ref="A30:L30"/>
    <mergeCell ref="A31:L31"/>
    <mergeCell ref="A22:H22"/>
    <mergeCell ref="A32:L32"/>
    <mergeCell ref="A33:L33"/>
    <mergeCell ref="A34:L34"/>
    <mergeCell ref="A35:Y35"/>
    <mergeCell ref="A40:B40"/>
    <mergeCell ref="C40:E40"/>
    <mergeCell ref="F40:G40"/>
    <mergeCell ref="H40:L40"/>
  </mergeCells>
  <hyperlinks>
    <hyperlink ref="A33" r:id="rId1" xr:uid="{00000000-0004-0000-0400-000000000000}"/>
    <hyperlink ref="A34" r:id="rId2" xr:uid="{00000000-0004-0000-0400-000001000000}"/>
    <hyperlink ref="C40" r:id="rId3" xr:uid="{00000000-0004-0000-0400-000002000000}"/>
    <hyperlink ref="H40" r:id="rId4" xr:uid="{00000000-0004-0000-0400-000003000000}"/>
    <hyperlink ref="K22" r:id="rId5" xr:uid="{C275BE6F-0CFE-435E-8B8D-4FB05E6D4F6D}"/>
  </hyperlinks>
  <pageMargins left="0.25" right="0.25" top="0.75" bottom="0.75" header="0.51180555555555496" footer="0.51180555555555496"/>
  <pageSetup paperSize="9" firstPageNumber="0" fitToHeight="0" orientation="landscape" horizontalDpi="300" verticalDpi="30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0EEB-03FF-42EA-992C-6838DF761A35}">
  <sheetPr>
    <pageSetUpPr fitToPage="1"/>
  </sheetPr>
  <dimension ref="A1:AMN40"/>
  <sheetViews>
    <sheetView zoomScale="115" zoomScaleNormal="115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2" customWidth="1"/>
    <col min="3" max="3" width="23" style="1" customWidth="1"/>
    <col min="4" max="5" width="13.7109375" style="1" customWidth="1"/>
    <col min="6" max="6" width="13.5703125" style="1" customWidth="1"/>
    <col min="7" max="7" width="37.5703125" style="1" customWidth="1"/>
    <col min="8" max="8" width="28.5703125" style="1" customWidth="1"/>
    <col min="9" max="9" width="13.5703125" style="1" customWidth="1"/>
    <col min="10" max="10" width="13.42578125" style="1" customWidth="1"/>
    <col min="11" max="11" width="13.5703125" style="1" customWidth="1"/>
    <col min="12" max="12" width="20.42578125" style="1" customWidth="1"/>
    <col min="13" max="13" width="15.140625" style="1" customWidth="1"/>
    <col min="14" max="14" width="12.140625" style="1" customWidth="1"/>
    <col min="15" max="15" width="9" style="1" customWidth="1"/>
    <col min="16" max="16" width="13.5703125" style="1" customWidth="1"/>
    <col min="17" max="17" width="8.140625" style="1" customWidth="1"/>
    <col min="18" max="25" width="5" style="1" customWidth="1"/>
    <col min="26" max="1024" width="9.140625" style="1"/>
  </cols>
  <sheetData>
    <row r="1" spans="1:1024" ht="18.75" x14ac:dyDescent="0.25">
      <c r="A1" s="219" t="s">
        <v>33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1024" ht="34.5" customHeight="1" x14ac:dyDescent="0.25">
      <c r="A2" s="220" t="s">
        <v>146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1024" x14ac:dyDescent="0.25">
      <c r="A3" s="221" t="s">
        <v>106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1024" ht="15.75" x14ac:dyDescent="0.25">
      <c r="A4" s="5" t="s">
        <v>1</v>
      </c>
      <c r="B4" s="218" t="s">
        <v>151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</row>
    <row r="5" spans="1:1024" x14ac:dyDescent="0.25">
      <c r="A5" s="6" t="s">
        <v>2</v>
      </c>
      <c r="B5" s="222" t="str">
        <f>CONCATENATE(B38,C38,D38,E38,F38,G38,H38,I38,J38,K38,L38,M38,N38,O38,P38,Q38,R38,S38,T38,U38,V38,W38,X38,Y38,Z38,AA38,AB38,AC38,AD38,AE38,AF38,AG38,AH38,AI38,AJ38,AK38)</f>
        <v>010000100100001000010000000100010011010111100111001100100000000000000000000000000010011100000000101111100101010100000000000000000000000000000000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</row>
    <row r="6" spans="1:1024" x14ac:dyDescent="0.25">
      <c r="A6" s="6" t="s">
        <v>3</v>
      </c>
      <c r="B6" s="7">
        <v>1</v>
      </c>
      <c r="C6" s="8">
        <f t="shared" ref="C6:I6" si="0">B6+B13</f>
        <v>3</v>
      </c>
      <c r="D6" s="8">
        <f t="shared" si="0"/>
        <v>8</v>
      </c>
      <c r="E6" s="8">
        <f t="shared" si="0"/>
        <v>11</v>
      </c>
      <c r="F6" s="8">
        <f t="shared" si="0"/>
        <v>17</v>
      </c>
      <c r="G6" s="8">
        <f t="shared" si="0"/>
        <v>25</v>
      </c>
      <c r="H6" s="8">
        <f t="shared" si="0"/>
        <v>57</v>
      </c>
      <c r="I6" s="8">
        <f t="shared" si="0"/>
        <v>81</v>
      </c>
      <c r="J6" s="8">
        <f t="shared" ref="J6" si="1">I6+I13</f>
        <v>89</v>
      </c>
      <c r="K6" s="8">
        <f t="shared" ref="K6" si="2">J6+J13</f>
        <v>97</v>
      </c>
      <c r="L6" s="8">
        <f t="shared" ref="L6" si="3">K6+K13</f>
        <v>105</v>
      </c>
      <c r="M6" s="9"/>
      <c r="AMH6"/>
      <c r="AMI6"/>
      <c r="AMJ6"/>
    </row>
    <row r="7" spans="1:1024" ht="45" x14ac:dyDescent="0.25">
      <c r="A7" s="6" t="s">
        <v>4</v>
      </c>
      <c r="B7" s="10" t="s">
        <v>35</v>
      </c>
      <c r="C7" s="44" t="s">
        <v>97</v>
      </c>
      <c r="D7" s="44" t="s">
        <v>98</v>
      </c>
      <c r="E7" s="44" t="s">
        <v>99</v>
      </c>
      <c r="F7" s="44" t="s">
        <v>100</v>
      </c>
      <c r="G7" s="53" t="s">
        <v>127</v>
      </c>
      <c r="H7" s="53" t="s">
        <v>86</v>
      </c>
      <c r="I7" s="69" t="s">
        <v>137</v>
      </c>
      <c r="J7" s="69" t="s">
        <v>138</v>
      </c>
      <c r="K7" s="69" t="s">
        <v>139</v>
      </c>
      <c r="L7" s="69" t="s">
        <v>140</v>
      </c>
      <c r="M7" s="9"/>
      <c r="AMH7"/>
      <c r="AMI7"/>
      <c r="AMJ7"/>
    </row>
    <row r="8" spans="1:1024" x14ac:dyDescent="0.25">
      <c r="A8" s="6" t="s">
        <v>6</v>
      </c>
      <c r="B8" s="11" t="str">
        <f t="shared" ref="B8:L8" si="4">MID($B5,B6,B13)</f>
        <v>01</v>
      </c>
      <c r="C8" s="11" t="str">
        <f t="shared" si="4"/>
        <v>00001</v>
      </c>
      <c r="D8" s="11" t="str">
        <f t="shared" si="4"/>
        <v>001</v>
      </c>
      <c r="E8" s="11" t="str">
        <f t="shared" ref="E8:G8" si="5">MID($B5,E6,E13)</f>
        <v>000010</v>
      </c>
      <c r="F8" s="11" t="str">
        <f t="shared" si="5"/>
        <v>00010000</v>
      </c>
      <c r="G8" s="11" t="str">
        <f t="shared" si="5"/>
        <v>00010001001101011110011100110010</v>
      </c>
      <c r="H8" s="11" t="str">
        <f t="shared" si="4"/>
        <v>000000000000000000000000</v>
      </c>
      <c r="I8" s="11" t="str">
        <f t="shared" si="4"/>
        <v>00100111</v>
      </c>
      <c r="J8" s="11" t="str">
        <f t="shared" si="4"/>
        <v>00000000</v>
      </c>
      <c r="K8" s="11" t="str">
        <f t="shared" si="4"/>
        <v>10111110</v>
      </c>
      <c r="L8" s="11" t="str">
        <f t="shared" si="4"/>
        <v>01010101</v>
      </c>
      <c r="M8" s="9"/>
      <c r="AMH8"/>
      <c r="AMI8"/>
      <c r="AMJ8"/>
    </row>
    <row r="9" spans="1:1024" x14ac:dyDescent="0.25">
      <c r="A9" s="6" t="s">
        <v>7</v>
      </c>
      <c r="B9" s="11">
        <f t="shared" ref="B9" ca="1" si="6">SUMPRODUCT(--MID(B8,LEN(B8)+1-ROW(INDIRECT("1:"&amp;LEN(B8))),1),(2^(ROW(INDIRECT("1:"&amp;LEN(B8)))-1)))</f>
        <v>1</v>
      </c>
      <c r="C9" s="11">
        <f t="shared" ref="C9" ca="1" si="7">SUMPRODUCT(--MID(C8,LEN(C8)+1-ROW(INDIRECT("1:"&amp;LEN(C8))),1),(2^(ROW(INDIRECT("1:"&amp;LEN(C8)))-1)))</f>
        <v>1</v>
      </c>
      <c r="D9" s="11">
        <f t="shared" ref="D9" ca="1" si="8">SUMPRODUCT(--MID(D8,LEN(D8)+1-ROW(INDIRECT("1:"&amp;LEN(D8))),1),(2^(ROW(INDIRECT("1:"&amp;LEN(D8)))-1)))</f>
        <v>1</v>
      </c>
      <c r="E9" s="11">
        <f t="shared" ref="E9" ca="1" si="9">SUMPRODUCT(--MID(E8,LEN(E8)+1-ROW(INDIRECT("1:"&amp;LEN(E8))),1),(2^(ROW(INDIRECT("1:"&amp;LEN(E8)))-1)))</f>
        <v>2</v>
      </c>
      <c r="F9" s="11">
        <f t="shared" ref="F9" ca="1" si="10">SUMPRODUCT(--MID(F8,LEN(F8)+1-ROW(INDIRECT("1:"&amp;LEN(F8))),1),(2^(ROW(INDIRECT("1:"&amp;LEN(F8)))-1)))</f>
        <v>16</v>
      </c>
      <c r="G9" s="11">
        <f t="shared" ref="G9" ca="1" si="11">SUMPRODUCT(--MID(G8,LEN(G8)+1-ROW(INDIRECT("1:"&amp;LEN(G8))),1),(2^(ROW(INDIRECT("1:"&amp;LEN(G8)))-1)))</f>
        <v>288745266</v>
      </c>
      <c r="H9" s="11">
        <f t="shared" ref="H9:L9" ca="1" si="12">SUMPRODUCT(--MID(H8,LEN(H8)+1-ROW(INDIRECT("1:"&amp;LEN(H8))),1),(2^(ROW(INDIRECT("1:"&amp;LEN(H8)))-1)))</f>
        <v>0</v>
      </c>
      <c r="I9" s="11">
        <f t="shared" ca="1" si="12"/>
        <v>39</v>
      </c>
      <c r="J9" s="11">
        <f t="shared" ca="1" si="12"/>
        <v>0</v>
      </c>
      <c r="K9" s="11">
        <f t="shared" ca="1" si="12"/>
        <v>190</v>
      </c>
      <c r="L9" s="11">
        <f t="shared" ca="1" si="12"/>
        <v>85</v>
      </c>
      <c r="M9" s="9"/>
      <c r="AMH9"/>
      <c r="AMI9"/>
      <c r="AMJ9"/>
    </row>
    <row r="10" spans="1:1024" ht="15.75" thickBot="1" x14ac:dyDescent="0.3">
      <c r="A10" s="12" t="s">
        <v>8</v>
      </c>
      <c r="B10" s="13">
        <f ca="1">B9</f>
        <v>1</v>
      </c>
      <c r="C10" s="13">
        <f t="shared" ref="C10:L10" ca="1" si="13">C9*C12+C15</f>
        <v>1</v>
      </c>
      <c r="D10" s="13">
        <f t="shared" ca="1" si="13"/>
        <v>1</v>
      </c>
      <c r="E10" s="13">
        <f t="shared" ref="E10:G10" ca="1" si="14">E9*E12+E15</f>
        <v>2</v>
      </c>
      <c r="F10" s="13">
        <f t="shared" ca="1" si="14"/>
        <v>16</v>
      </c>
      <c r="G10" s="13">
        <f t="shared" ca="1" si="14"/>
        <v>288745266</v>
      </c>
      <c r="H10" s="13">
        <f t="shared" ca="1" si="13"/>
        <v>0</v>
      </c>
      <c r="I10" s="13">
        <f t="shared" ca="1" si="13"/>
        <v>39</v>
      </c>
      <c r="J10" s="13">
        <f t="shared" ca="1" si="13"/>
        <v>0</v>
      </c>
      <c r="K10" s="13">
        <f t="shared" ca="1" si="13"/>
        <v>190</v>
      </c>
      <c r="L10" s="13">
        <f t="shared" ca="1" si="13"/>
        <v>85</v>
      </c>
      <c r="M10" s="14" t="s">
        <v>9</v>
      </c>
      <c r="AMH10"/>
      <c r="AMI10"/>
      <c r="AMJ10"/>
    </row>
    <row r="11" spans="1:1024" x14ac:dyDescent="0.25">
      <c r="A11" s="15" t="s">
        <v>10</v>
      </c>
      <c r="B11" s="16" t="s">
        <v>11</v>
      </c>
      <c r="C11" s="16" t="s">
        <v>14</v>
      </c>
      <c r="D11" s="16" t="s">
        <v>14</v>
      </c>
      <c r="E11" s="16" t="s">
        <v>14</v>
      </c>
      <c r="F11" s="16" t="s">
        <v>14</v>
      </c>
      <c r="G11" s="16" t="s">
        <v>14</v>
      </c>
      <c r="H11" s="16" t="s">
        <v>14</v>
      </c>
      <c r="I11" s="16" t="s">
        <v>14</v>
      </c>
      <c r="J11" s="16" t="s">
        <v>14</v>
      </c>
      <c r="K11" s="16" t="s">
        <v>14</v>
      </c>
      <c r="L11" s="16" t="s">
        <v>14</v>
      </c>
      <c r="M11" s="17"/>
      <c r="AMH11"/>
      <c r="AMI11"/>
      <c r="AMJ11"/>
    </row>
    <row r="12" spans="1:1024" x14ac:dyDescent="0.25">
      <c r="A12" s="18" t="s">
        <v>15</v>
      </c>
      <c r="B12" s="19">
        <v>1</v>
      </c>
      <c r="C12" s="19">
        <v>1</v>
      </c>
      <c r="D12" s="19">
        <v>1</v>
      </c>
      <c r="E12" s="19">
        <v>1</v>
      </c>
      <c r="F12" s="19">
        <v>1</v>
      </c>
      <c r="G12" s="19">
        <v>1</v>
      </c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20"/>
      <c r="AMH12"/>
      <c r="AMI12"/>
      <c r="AMJ12"/>
    </row>
    <row r="13" spans="1:1024" s="1" customFormat="1" x14ac:dyDescent="0.25">
      <c r="A13" s="21" t="s">
        <v>16</v>
      </c>
      <c r="B13" s="22">
        <v>2</v>
      </c>
      <c r="C13" s="23">
        <v>5</v>
      </c>
      <c r="D13" s="23">
        <v>3</v>
      </c>
      <c r="E13" s="23">
        <v>6</v>
      </c>
      <c r="F13" s="23">
        <v>8</v>
      </c>
      <c r="G13" s="22">
        <v>32</v>
      </c>
      <c r="H13" s="22">
        <v>24</v>
      </c>
      <c r="I13" s="22">
        <v>8</v>
      </c>
      <c r="J13" s="22">
        <v>8</v>
      </c>
      <c r="K13" s="22">
        <v>8</v>
      </c>
      <c r="L13" s="22">
        <v>8</v>
      </c>
      <c r="M13" s="24">
        <f>SUM(B13:L13)</f>
        <v>112</v>
      </c>
      <c r="N13" s="25"/>
      <c r="O13" s="25"/>
      <c r="P13" s="25"/>
      <c r="Q13" s="25"/>
      <c r="R13" s="25"/>
    </row>
    <row r="14" spans="1:1024" s="30" customFormat="1" x14ac:dyDescent="0.25">
      <c r="A14" s="26" t="s">
        <v>17</v>
      </c>
      <c r="B14" s="27">
        <f t="shared" ref="B14:H14" si="15">2^B13</f>
        <v>4</v>
      </c>
      <c r="C14" s="27">
        <f t="shared" si="15"/>
        <v>32</v>
      </c>
      <c r="D14" s="27">
        <f t="shared" si="15"/>
        <v>8</v>
      </c>
      <c r="E14" s="27">
        <f t="shared" si="15"/>
        <v>64</v>
      </c>
      <c r="F14" s="27">
        <f t="shared" si="15"/>
        <v>256</v>
      </c>
      <c r="G14" s="27">
        <f t="shared" si="15"/>
        <v>4294967296</v>
      </c>
      <c r="H14" s="27">
        <f t="shared" si="15"/>
        <v>16777216</v>
      </c>
      <c r="I14" s="27">
        <v>256</v>
      </c>
      <c r="J14" s="27">
        <v>256</v>
      </c>
      <c r="K14" s="27">
        <v>256</v>
      </c>
      <c r="L14" s="27">
        <v>256</v>
      </c>
      <c r="M14" s="28"/>
      <c r="N14" s="29"/>
      <c r="O14" s="29"/>
      <c r="P14" s="29"/>
      <c r="Q14" s="29"/>
      <c r="R14" s="29"/>
    </row>
    <row r="15" spans="1:1024" x14ac:dyDescent="0.25">
      <c r="A15" s="18" t="s">
        <v>18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20"/>
      <c r="AMH15"/>
      <c r="AMI15"/>
      <c r="AMJ15"/>
    </row>
    <row r="16" spans="1:1024" s="30" customFormat="1" x14ac:dyDescent="0.25">
      <c r="A16" s="26" t="s">
        <v>19</v>
      </c>
      <c r="B16" s="31">
        <f t="shared" ref="B16:H16" si="16">(B14-1)*B12+B15</f>
        <v>3</v>
      </c>
      <c r="C16" s="31">
        <f t="shared" si="16"/>
        <v>31</v>
      </c>
      <c r="D16" s="31">
        <f t="shared" si="16"/>
        <v>7</v>
      </c>
      <c r="E16" s="31">
        <f t="shared" si="16"/>
        <v>63</v>
      </c>
      <c r="F16" s="31">
        <f t="shared" si="16"/>
        <v>255</v>
      </c>
      <c r="G16" s="31">
        <f t="shared" si="16"/>
        <v>4294967295</v>
      </c>
      <c r="H16" s="31">
        <f t="shared" si="16"/>
        <v>16777215</v>
      </c>
      <c r="I16" s="31">
        <v>255</v>
      </c>
      <c r="J16" s="31">
        <v>255</v>
      </c>
      <c r="K16" s="31">
        <v>255</v>
      </c>
      <c r="L16" s="31">
        <v>255</v>
      </c>
      <c r="M16" s="28"/>
    </row>
    <row r="17" spans="1:1028" x14ac:dyDescent="0.25">
      <c r="A17" s="18" t="s">
        <v>20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20"/>
      <c r="AMH17"/>
      <c r="AMI17"/>
      <c r="AMJ17"/>
    </row>
    <row r="18" spans="1:1028" ht="15.75" thickBot="1" x14ac:dyDescent="0.3">
      <c r="A18" s="32" t="s">
        <v>21</v>
      </c>
      <c r="B18" s="33">
        <v>1</v>
      </c>
      <c r="C18" s="33">
        <v>31</v>
      </c>
      <c r="D18" s="33">
        <v>7</v>
      </c>
      <c r="E18" s="33">
        <v>63</v>
      </c>
      <c r="F18" s="33">
        <v>255</v>
      </c>
      <c r="G18" s="33">
        <v>0</v>
      </c>
      <c r="H18" s="33">
        <v>0</v>
      </c>
      <c r="I18" s="33">
        <v>255</v>
      </c>
      <c r="J18" s="33">
        <v>255</v>
      </c>
      <c r="K18" s="33">
        <v>255</v>
      </c>
      <c r="L18" s="33">
        <v>255</v>
      </c>
      <c r="M18" s="46">
        <f>M13/8</f>
        <v>14</v>
      </c>
      <c r="AMH18"/>
      <c r="AMI18"/>
      <c r="AMJ18"/>
    </row>
    <row r="19" spans="1:1028" x14ac:dyDescent="0.25">
      <c r="A19" s="34" t="s">
        <v>22</v>
      </c>
      <c r="B19" s="34" t="str">
        <f t="shared" ref="B19:L19" si="17">IF(B16&gt;=B18,"OK","ERROR")</f>
        <v>OK</v>
      </c>
      <c r="C19" s="34" t="str">
        <f t="shared" si="17"/>
        <v>OK</v>
      </c>
      <c r="D19" s="34" t="str">
        <f t="shared" si="17"/>
        <v>OK</v>
      </c>
      <c r="E19" s="34" t="str">
        <f t="shared" si="17"/>
        <v>OK</v>
      </c>
      <c r="F19" s="34" t="str">
        <f t="shared" si="17"/>
        <v>OK</v>
      </c>
      <c r="G19" s="34" t="str">
        <f t="shared" si="17"/>
        <v>OK</v>
      </c>
      <c r="H19" s="34" t="str">
        <f t="shared" si="17"/>
        <v>OK</v>
      </c>
      <c r="I19" s="34" t="str">
        <f t="shared" si="17"/>
        <v>OK</v>
      </c>
      <c r="J19" s="34" t="str">
        <f t="shared" si="17"/>
        <v>OK</v>
      </c>
      <c r="K19" s="34" t="str">
        <f t="shared" si="17"/>
        <v>OK</v>
      </c>
      <c r="L19" s="34" t="str">
        <f t="shared" si="17"/>
        <v>OK</v>
      </c>
      <c r="M19" s="35"/>
      <c r="AMH19"/>
      <c r="AMI19"/>
      <c r="AMJ19"/>
    </row>
    <row r="20" spans="1:1028" x14ac:dyDescent="0.25">
      <c r="A20" s="36" t="s">
        <v>23</v>
      </c>
      <c r="B20" s="36">
        <f ca="1">B10</f>
        <v>1</v>
      </c>
      <c r="C20" s="36">
        <f ca="1">C10</f>
        <v>1</v>
      </c>
      <c r="D20" s="36">
        <f t="shared" ref="D20:H20" ca="1" si="18">D10</f>
        <v>1</v>
      </c>
      <c r="E20" s="36">
        <f t="shared" ca="1" si="18"/>
        <v>2</v>
      </c>
      <c r="F20" s="36">
        <f t="shared" ca="1" si="18"/>
        <v>16</v>
      </c>
      <c r="G20" s="36">
        <f t="shared" ca="1" si="18"/>
        <v>288745266</v>
      </c>
      <c r="H20" s="36">
        <f t="shared" ca="1" si="18"/>
        <v>0</v>
      </c>
      <c r="I20" s="36" t="str">
        <f ca="1">IF(LEN(DEC2HEX(I10))=1,CONCATENATE("0",DEC2HEX(I10) ),DEC2HEX(I10) )</f>
        <v>27</v>
      </c>
      <c r="J20" s="36" t="str">
        <f t="shared" ref="J20:L20" ca="1" si="19">IF(LEN(DEC2HEX(J10))=1,CONCATENATE("0",DEC2HEX(J10) ),DEC2HEX(J10) )</f>
        <v>00</v>
      </c>
      <c r="K20" s="36" t="str">
        <f t="shared" ca="1" si="19"/>
        <v>BE</v>
      </c>
      <c r="L20" s="36" t="str">
        <f t="shared" ca="1" si="19"/>
        <v>55</v>
      </c>
      <c r="M20" s="36"/>
      <c r="N20" s="36"/>
      <c r="O20" s="36"/>
      <c r="P20" s="36"/>
      <c r="Q20" s="36"/>
      <c r="R20" s="36"/>
      <c r="S20" s="36"/>
      <c r="AMK20" s="1"/>
      <c r="AML20" s="1"/>
      <c r="AMM20" s="1"/>
      <c r="AMN20" s="1"/>
    </row>
    <row r="21" spans="1:1028" s="37" customFormat="1" x14ac:dyDescent="0.25">
      <c r="A21" s="223"/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</row>
    <row r="22" spans="1:1028" s="37" customFormat="1" x14ac:dyDescent="0.25">
      <c r="A22" s="223" t="s">
        <v>145</v>
      </c>
      <c r="B22" s="223"/>
      <c r="C22" s="223"/>
      <c r="D22" s="223"/>
      <c r="E22" s="223"/>
      <c r="F22" s="223"/>
      <c r="G22" s="223"/>
      <c r="H22" s="223"/>
      <c r="I22" s="43"/>
      <c r="J22" s="43"/>
      <c r="K22" s="43"/>
      <c r="L22" s="43"/>
    </row>
    <row r="23" spans="1:1028" s="37" customFormat="1" x14ac:dyDescent="0.25">
      <c r="A23" s="43" t="s">
        <v>101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028" s="37" customFormat="1" x14ac:dyDescent="0.25">
      <c r="A24" s="43" t="s">
        <v>102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5" spans="1:1028" s="37" customFormat="1" x14ac:dyDescent="0.25">
      <c r="A25" s="43" t="s">
        <v>103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028" s="37" customFormat="1" x14ac:dyDescent="0.25">
      <c r="A26" s="43" t="s">
        <v>104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spans="1:1028" s="37" customFormat="1" x14ac:dyDescent="0.25">
      <c r="A27" s="43" t="s">
        <v>105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028" s="37" customFormat="1" x14ac:dyDescent="0.25">
      <c r="A28" s="43"/>
    </row>
    <row r="29" spans="1:1028" s="37" customFormat="1" x14ac:dyDescent="0.25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028" s="37" customFormat="1" x14ac:dyDescent="0.25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028" s="37" customFormat="1" x14ac:dyDescent="0.25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028" s="38" customFormat="1" x14ac:dyDescent="0.25">
      <c r="A32" s="224" t="s">
        <v>24</v>
      </c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</row>
    <row r="33" spans="1:39" x14ac:dyDescent="0.25">
      <c r="A33" s="217" t="s">
        <v>52</v>
      </c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39"/>
      <c r="N33" s="39"/>
      <c r="O33" s="39"/>
      <c r="P33" s="39"/>
      <c r="Q33" s="39"/>
      <c r="R33" s="2"/>
    </row>
    <row r="34" spans="1:39" x14ac:dyDescent="0.25">
      <c r="A34" s="217" t="s">
        <v>53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39"/>
      <c r="N34" s="39"/>
      <c r="O34" s="39"/>
      <c r="P34" s="39"/>
      <c r="Q34" s="39"/>
      <c r="R34" s="2"/>
    </row>
    <row r="35" spans="1:39" x14ac:dyDescent="0.25">
      <c r="A35" s="225" t="s">
        <v>25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</row>
    <row r="36" spans="1:39" x14ac:dyDescent="0.25">
      <c r="A36" s="40" t="s">
        <v>26</v>
      </c>
      <c r="B36" s="41">
        <v>1</v>
      </c>
      <c r="C36" s="41">
        <v>2</v>
      </c>
      <c r="D36" s="41">
        <v>3</v>
      </c>
      <c r="E36" s="41">
        <v>4</v>
      </c>
      <c r="F36" s="41">
        <v>5</v>
      </c>
      <c r="G36" s="41">
        <v>6</v>
      </c>
      <c r="H36" s="41">
        <v>7</v>
      </c>
      <c r="I36" s="41">
        <v>8</v>
      </c>
      <c r="J36" s="41">
        <v>9</v>
      </c>
      <c r="K36" s="41">
        <v>10</v>
      </c>
      <c r="L36" s="41">
        <v>11</v>
      </c>
      <c r="M36" s="41">
        <v>12</v>
      </c>
      <c r="N36" s="41">
        <v>13</v>
      </c>
      <c r="O36" s="41">
        <v>14</v>
      </c>
      <c r="P36" s="41">
        <v>15</v>
      </c>
      <c r="Q36" s="41">
        <v>16</v>
      </c>
      <c r="R36" s="41">
        <v>17</v>
      </c>
      <c r="S36" s="41">
        <v>18</v>
      </c>
      <c r="T36" s="41">
        <v>19</v>
      </c>
      <c r="U36" s="41">
        <v>20</v>
      </c>
      <c r="V36" s="41">
        <v>21</v>
      </c>
      <c r="W36" s="41">
        <v>22</v>
      </c>
      <c r="X36" s="41">
        <v>23</v>
      </c>
      <c r="Y36" s="41">
        <v>24</v>
      </c>
      <c r="Z36" s="41">
        <v>25</v>
      </c>
      <c r="AA36" s="41">
        <v>26</v>
      </c>
      <c r="AB36" s="41">
        <v>27</v>
      </c>
      <c r="AC36" s="41">
        <v>28</v>
      </c>
      <c r="AD36" s="41">
        <v>29</v>
      </c>
      <c r="AE36" s="41">
        <v>30</v>
      </c>
      <c r="AF36" s="41">
        <v>31</v>
      </c>
      <c r="AG36" s="41">
        <v>32</v>
      </c>
      <c r="AH36" s="41">
        <v>33</v>
      </c>
      <c r="AI36" s="41">
        <v>34</v>
      </c>
      <c r="AJ36" s="41">
        <v>35</v>
      </c>
      <c r="AK36" s="41">
        <v>36</v>
      </c>
    </row>
    <row r="37" spans="1:39" x14ac:dyDescent="0.25">
      <c r="A37" s="40" t="s">
        <v>27</v>
      </c>
      <c r="B37" s="42" t="str">
        <f t="shared" ref="B37:AK37" si="20">MID($B4,B36,1)</f>
        <v>4</v>
      </c>
      <c r="C37" s="42" t="str">
        <f t="shared" si="20"/>
        <v>2</v>
      </c>
      <c r="D37" s="42" t="str">
        <f t="shared" si="20"/>
        <v>4</v>
      </c>
      <c r="E37" s="42" t="str">
        <f t="shared" si="20"/>
        <v>2</v>
      </c>
      <c r="F37" s="42" t="str">
        <f t="shared" si="20"/>
        <v>1</v>
      </c>
      <c r="G37" s="42" t="str">
        <f t="shared" si="20"/>
        <v>0</v>
      </c>
      <c r="H37" s="42" t="str">
        <f t="shared" si="20"/>
        <v>1</v>
      </c>
      <c r="I37" s="42" t="str">
        <f t="shared" si="20"/>
        <v>1</v>
      </c>
      <c r="J37" s="42" t="str">
        <f t="shared" si="20"/>
        <v>3</v>
      </c>
      <c r="K37" s="42" t="str">
        <f t="shared" si="20"/>
        <v>5</v>
      </c>
      <c r="L37" s="42" t="str">
        <f t="shared" si="20"/>
        <v>E</v>
      </c>
      <c r="M37" s="42" t="str">
        <f t="shared" si="20"/>
        <v>7</v>
      </c>
      <c r="N37" s="42" t="str">
        <f t="shared" si="20"/>
        <v>3</v>
      </c>
      <c r="O37" s="42" t="str">
        <f t="shared" si="20"/>
        <v>2</v>
      </c>
      <c r="P37" s="42" t="str">
        <f t="shared" si="20"/>
        <v>0</v>
      </c>
      <c r="Q37" s="42" t="str">
        <f t="shared" si="20"/>
        <v>0</v>
      </c>
      <c r="R37" s="42" t="str">
        <f t="shared" si="20"/>
        <v>0</v>
      </c>
      <c r="S37" s="42" t="str">
        <f t="shared" si="20"/>
        <v>0</v>
      </c>
      <c r="T37" s="42" t="str">
        <f t="shared" si="20"/>
        <v>0</v>
      </c>
      <c r="U37" s="42" t="str">
        <f t="shared" si="20"/>
        <v>0</v>
      </c>
      <c r="V37" s="42" t="str">
        <f t="shared" si="20"/>
        <v>2</v>
      </c>
      <c r="W37" s="42" t="str">
        <f t="shared" si="20"/>
        <v>7</v>
      </c>
      <c r="X37" s="42" t="str">
        <f t="shared" si="20"/>
        <v>0</v>
      </c>
      <c r="Y37" s="42" t="str">
        <f t="shared" si="20"/>
        <v>0</v>
      </c>
      <c r="Z37" s="42" t="str">
        <f t="shared" si="20"/>
        <v>B</v>
      </c>
      <c r="AA37" s="42" t="str">
        <f t="shared" si="20"/>
        <v>E</v>
      </c>
      <c r="AB37" s="42" t="str">
        <f t="shared" si="20"/>
        <v>5</v>
      </c>
      <c r="AC37" s="42" t="str">
        <f t="shared" si="20"/>
        <v>5</v>
      </c>
      <c r="AD37" s="42" t="str">
        <f t="shared" si="20"/>
        <v/>
      </c>
      <c r="AE37" s="42" t="str">
        <f t="shared" si="20"/>
        <v/>
      </c>
      <c r="AF37" s="42" t="str">
        <f t="shared" si="20"/>
        <v/>
      </c>
      <c r="AG37" s="42" t="str">
        <f t="shared" si="20"/>
        <v/>
      </c>
      <c r="AH37" s="42" t="str">
        <f t="shared" si="20"/>
        <v/>
      </c>
      <c r="AI37" s="42" t="str">
        <f t="shared" si="20"/>
        <v/>
      </c>
      <c r="AJ37" s="42" t="str">
        <f t="shared" si="20"/>
        <v/>
      </c>
      <c r="AK37" s="42" t="str">
        <f t="shared" si="20"/>
        <v/>
      </c>
      <c r="AL37" s="42"/>
      <c r="AM37" s="42"/>
    </row>
    <row r="38" spans="1:39" x14ac:dyDescent="0.25">
      <c r="A38" s="40" t="s">
        <v>28</v>
      </c>
      <c r="B38" s="41" t="str">
        <f t="shared" ref="B38:AK38" si="21">HEX2BIN(B37,4)</f>
        <v>0100</v>
      </c>
      <c r="C38" s="41" t="str">
        <f t="shared" si="21"/>
        <v>0010</v>
      </c>
      <c r="D38" s="41" t="str">
        <f t="shared" si="21"/>
        <v>0100</v>
      </c>
      <c r="E38" s="41" t="str">
        <f t="shared" si="21"/>
        <v>0010</v>
      </c>
      <c r="F38" s="41" t="str">
        <f t="shared" si="21"/>
        <v>0001</v>
      </c>
      <c r="G38" s="41" t="str">
        <f t="shared" si="21"/>
        <v>0000</v>
      </c>
      <c r="H38" s="41" t="str">
        <f t="shared" si="21"/>
        <v>0001</v>
      </c>
      <c r="I38" s="41" t="str">
        <f t="shared" si="21"/>
        <v>0001</v>
      </c>
      <c r="J38" s="41" t="str">
        <f t="shared" si="21"/>
        <v>0011</v>
      </c>
      <c r="K38" s="41" t="str">
        <f t="shared" si="21"/>
        <v>0101</v>
      </c>
      <c r="L38" s="41" t="str">
        <f t="shared" si="21"/>
        <v>1110</v>
      </c>
      <c r="M38" s="41" t="str">
        <f t="shared" si="21"/>
        <v>0111</v>
      </c>
      <c r="N38" s="41" t="str">
        <f t="shared" si="21"/>
        <v>0011</v>
      </c>
      <c r="O38" s="41" t="str">
        <f t="shared" si="21"/>
        <v>0010</v>
      </c>
      <c r="P38" s="41" t="str">
        <f t="shared" si="21"/>
        <v>0000</v>
      </c>
      <c r="Q38" s="41" t="str">
        <f t="shared" si="21"/>
        <v>0000</v>
      </c>
      <c r="R38" s="41" t="str">
        <f t="shared" si="21"/>
        <v>0000</v>
      </c>
      <c r="S38" s="41" t="str">
        <f t="shared" si="21"/>
        <v>0000</v>
      </c>
      <c r="T38" s="41" t="str">
        <f t="shared" si="21"/>
        <v>0000</v>
      </c>
      <c r="U38" s="41" t="str">
        <f t="shared" si="21"/>
        <v>0000</v>
      </c>
      <c r="V38" s="41" t="str">
        <f t="shared" si="21"/>
        <v>0010</v>
      </c>
      <c r="W38" s="41" t="str">
        <f t="shared" si="21"/>
        <v>0111</v>
      </c>
      <c r="X38" s="41" t="str">
        <f t="shared" si="21"/>
        <v>0000</v>
      </c>
      <c r="Y38" s="41" t="str">
        <f t="shared" si="21"/>
        <v>0000</v>
      </c>
      <c r="Z38" s="41" t="str">
        <f t="shared" si="21"/>
        <v>1011</v>
      </c>
      <c r="AA38" s="41" t="str">
        <f t="shared" si="21"/>
        <v>1110</v>
      </c>
      <c r="AB38" s="41" t="str">
        <f t="shared" si="21"/>
        <v>0101</v>
      </c>
      <c r="AC38" s="41" t="str">
        <f t="shared" si="21"/>
        <v>0101</v>
      </c>
      <c r="AD38" s="41" t="str">
        <f t="shared" si="21"/>
        <v>0000</v>
      </c>
      <c r="AE38" s="41" t="str">
        <f t="shared" si="21"/>
        <v>0000</v>
      </c>
      <c r="AF38" s="41" t="str">
        <f t="shared" si="21"/>
        <v>0000</v>
      </c>
      <c r="AG38" s="41" t="str">
        <f t="shared" si="21"/>
        <v>0000</v>
      </c>
      <c r="AH38" s="41" t="str">
        <f t="shared" si="21"/>
        <v>0000</v>
      </c>
      <c r="AI38" s="41" t="str">
        <f t="shared" si="21"/>
        <v>0000</v>
      </c>
      <c r="AJ38" s="41" t="str">
        <f t="shared" si="21"/>
        <v>0000</v>
      </c>
      <c r="AK38" s="41" t="str">
        <f t="shared" si="21"/>
        <v>0000</v>
      </c>
    </row>
    <row r="39" spans="1:39" x14ac:dyDescent="0.25">
      <c r="B39" s="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39" x14ac:dyDescent="0.25">
      <c r="A40" s="226" t="s">
        <v>29</v>
      </c>
      <c r="B40" s="226"/>
      <c r="C40" s="210" t="s">
        <v>30</v>
      </c>
      <c r="D40" s="210"/>
      <c r="E40" s="210"/>
      <c r="F40" s="227" t="s">
        <v>31</v>
      </c>
      <c r="G40" s="227"/>
      <c r="H40" s="210" t="s">
        <v>32</v>
      </c>
      <c r="I40" s="210"/>
      <c r="J40" s="210"/>
      <c r="K40" s="210"/>
      <c r="L40" s="210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</sheetData>
  <sheetProtection algorithmName="SHA-512" hashValue="eFa58GrenFvcHbLaQIFmVuhhnrR8jj4DG03ME65ysoCwUQZAGbuAnffOQJoIYNsBEuI4x5YP6v5VE/nmEl5Q+A==" saltValue="fBjNfZsxcyhm2+yZXBVQ7A==" spinCount="100000" sheet="1" objects="1" scenarios="1"/>
  <mergeCells count="18">
    <mergeCell ref="A34:L34"/>
    <mergeCell ref="A35:Y35"/>
    <mergeCell ref="A40:B40"/>
    <mergeCell ref="C40:E40"/>
    <mergeCell ref="F40:G40"/>
    <mergeCell ref="H40:L40"/>
    <mergeCell ref="A33:L33"/>
    <mergeCell ref="A1:Y1"/>
    <mergeCell ref="A2:M2"/>
    <mergeCell ref="A3:L3"/>
    <mergeCell ref="B4:L4"/>
    <mergeCell ref="B5:O5"/>
    <mergeCell ref="A21:L21"/>
    <mergeCell ref="A22:H22"/>
    <mergeCell ref="A29:L29"/>
    <mergeCell ref="A30:L30"/>
    <mergeCell ref="A31:L31"/>
    <mergeCell ref="A32:L32"/>
  </mergeCells>
  <hyperlinks>
    <hyperlink ref="A33" r:id="rId1" xr:uid="{1BB1AF57-3B7A-4815-A057-F1B99FE08DBF}"/>
    <hyperlink ref="A34" r:id="rId2" xr:uid="{3571A7AB-0F73-4EA8-826F-E9AF702B242C}"/>
    <hyperlink ref="C40" r:id="rId3" xr:uid="{F20CDED3-BEB9-489C-9B15-AE5CDAF31AC1}"/>
    <hyperlink ref="H40" r:id="rId4" xr:uid="{4471C59C-97A3-44A9-9D63-241DE62EAC0E}"/>
  </hyperlinks>
  <pageMargins left="0.25" right="0.25" top="0.75" bottom="0.75" header="0.51180555555555496" footer="0.51180555555555496"/>
  <pageSetup paperSize="9" firstPageNumber="0" fitToHeight="0" orientation="landscape" horizontalDpi="300" verticalDpi="30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3E85-82A7-46CF-B7A2-261328899838}">
  <sheetPr>
    <pageSetUpPr fitToPage="1"/>
  </sheetPr>
  <dimension ref="A1:AMJ40"/>
  <sheetViews>
    <sheetView zoomScale="115" zoomScaleNormal="115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2" customWidth="1"/>
    <col min="3" max="3" width="18.42578125" style="1" bestFit="1" customWidth="1"/>
    <col min="4" max="4" width="12.85546875" style="1" customWidth="1"/>
    <col min="5" max="5" width="13.7109375" style="1" customWidth="1"/>
    <col min="6" max="9" width="13.5703125" style="1" customWidth="1"/>
    <col min="10" max="10" width="13.42578125" style="1" customWidth="1"/>
    <col min="11" max="11" width="13.5703125" style="1" customWidth="1"/>
    <col min="12" max="12" width="20.42578125" style="1" customWidth="1"/>
    <col min="13" max="14" width="19.5703125" style="1" customWidth="1"/>
    <col min="15" max="15" width="9" style="1" customWidth="1"/>
    <col min="16" max="16" width="21.7109375" style="1" customWidth="1"/>
    <col min="17" max="17" width="10.28515625" style="1" customWidth="1"/>
    <col min="18" max="18" width="14.140625" style="1" customWidth="1"/>
    <col min="19" max="19" width="13.5703125" style="1" customWidth="1"/>
    <col min="20" max="25" width="5" style="1" customWidth="1"/>
    <col min="26" max="1024" width="9.140625" style="1"/>
  </cols>
  <sheetData>
    <row r="1" spans="1:1024" ht="18.75" x14ac:dyDescent="0.25">
      <c r="A1" s="219" t="s">
        <v>33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1024" ht="34.5" customHeight="1" x14ac:dyDescent="0.25">
      <c r="A2" s="220" t="s">
        <v>0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1024" x14ac:dyDescent="0.25">
      <c r="A3" s="221" t="s">
        <v>107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1024" ht="15.75" x14ac:dyDescent="0.25">
      <c r="A4" s="5" t="s">
        <v>1</v>
      </c>
      <c r="B4" s="218" t="s">
        <v>134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</row>
    <row r="5" spans="1:1024" x14ac:dyDescent="0.25">
      <c r="A5" s="6" t="s">
        <v>2</v>
      </c>
      <c r="B5" s="222" t="str">
        <f>CONCATENATE(B38,C38,D38,E38,F38,G38,H38,I38,J38,K38,L38,M38,N38,O38,P38,Q38,R38,S38,T38,U38,V38,W38,X38,Y38,Z38,AA38,AB38,AC38,AD38,AE38,AF38,AG38,AH38,AI38,AJ38,AK38)</f>
        <v>100000000011110111001001100101010000000000110010000000000000000011111111111111001011000000000000000000000000000000000000000000000000000000000000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</row>
    <row r="6" spans="1:1024" x14ac:dyDescent="0.25">
      <c r="A6" s="6" t="s">
        <v>3</v>
      </c>
      <c r="B6" s="7">
        <v>1</v>
      </c>
      <c r="C6" s="8">
        <f t="shared" ref="C6:N6" si="0">B6+B13</f>
        <v>3</v>
      </c>
      <c r="D6" s="57">
        <f t="shared" si="0"/>
        <v>12</v>
      </c>
      <c r="E6" s="8">
        <f t="shared" si="0"/>
        <v>14</v>
      </c>
      <c r="F6" s="8">
        <f t="shared" si="0"/>
        <v>24</v>
      </c>
      <c r="G6" s="57">
        <f t="shared" si="0"/>
        <v>34</v>
      </c>
      <c r="H6" s="8">
        <f t="shared" si="0"/>
        <v>36</v>
      </c>
      <c r="I6" s="8">
        <f t="shared" si="0"/>
        <v>43</v>
      </c>
      <c r="J6" s="57">
        <f t="shared" si="0"/>
        <v>50</v>
      </c>
      <c r="K6" s="8">
        <f t="shared" si="0"/>
        <v>52</v>
      </c>
      <c r="L6" s="8">
        <f t="shared" si="0"/>
        <v>65</v>
      </c>
      <c r="M6" s="57">
        <f t="shared" si="0"/>
        <v>78</v>
      </c>
      <c r="N6" s="8">
        <f t="shared" si="0"/>
        <v>88</v>
      </c>
      <c r="O6" s="9"/>
      <c r="AMJ6"/>
    </row>
    <row r="7" spans="1:1024" ht="75" x14ac:dyDescent="0.25">
      <c r="A7" s="6" t="s">
        <v>4</v>
      </c>
      <c r="B7" s="53" t="s">
        <v>35</v>
      </c>
      <c r="C7" s="44" t="s">
        <v>110</v>
      </c>
      <c r="D7" s="58" t="s">
        <v>118</v>
      </c>
      <c r="E7" s="54" t="s">
        <v>117</v>
      </c>
      <c r="F7" s="54" t="s">
        <v>116</v>
      </c>
      <c r="G7" s="58" t="s">
        <v>119</v>
      </c>
      <c r="H7" s="54" t="s">
        <v>88</v>
      </c>
      <c r="I7" s="54" t="s">
        <v>91</v>
      </c>
      <c r="J7" s="58" t="s">
        <v>120</v>
      </c>
      <c r="K7" s="54" t="s">
        <v>90</v>
      </c>
      <c r="L7" s="54" t="s">
        <v>89</v>
      </c>
      <c r="M7" s="52" t="s">
        <v>115</v>
      </c>
      <c r="N7" s="45" t="s">
        <v>114</v>
      </c>
      <c r="O7" s="9"/>
      <c r="AMJ7"/>
    </row>
    <row r="8" spans="1:1024" x14ac:dyDescent="0.25">
      <c r="A8" s="6" t="s">
        <v>6</v>
      </c>
      <c r="B8" s="11" t="str">
        <f t="shared" ref="B8:N8" si="1">MID($B5,B6,B13)</f>
        <v>10</v>
      </c>
      <c r="C8" s="11" t="str">
        <f t="shared" si="1"/>
        <v>000000001</v>
      </c>
      <c r="D8" s="59" t="str">
        <f t="shared" si="1"/>
        <v>11</v>
      </c>
      <c r="E8" s="11" t="str">
        <f t="shared" si="1"/>
        <v>1011100100</v>
      </c>
      <c r="F8" s="11" t="str">
        <f t="shared" si="1"/>
        <v>1100101010</v>
      </c>
      <c r="G8" s="59" t="str">
        <f t="shared" si="1"/>
        <v>00</v>
      </c>
      <c r="H8" s="11" t="str">
        <f t="shared" si="1"/>
        <v>0000000</v>
      </c>
      <c r="I8" s="11" t="str">
        <f t="shared" si="1"/>
        <v>1100100</v>
      </c>
      <c r="J8" s="59" t="str">
        <f t="shared" si="1"/>
        <v>00</v>
      </c>
      <c r="K8" s="11" t="str">
        <f t="shared" si="1"/>
        <v>0000000000000</v>
      </c>
      <c r="L8" s="11" t="str">
        <f t="shared" si="1"/>
        <v>1111111111111</v>
      </c>
      <c r="M8" s="59" t="str">
        <f t="shared" si="1"/>
        <v>1001011000</v>
      </c>
      <c r="N8" s="11" t="str">
        <f t="shared" si="1"/>
        <v>000000000</v>
      </c>
      <c r="O8" s="9"/>
      <c r="AMJ8"/>
    </row>
    <row r="9" spans="1:1024" x14ac:dyDescent="0.25">
      <c r="A9" s="6" t="s">
        <v>7</v>
      </c>
      <c r="B9" s="11">
        <f t="shared" ref="B9:N9" ca="1" si="2">SUMPRODUCT(--MID(B8,LEN(B8)+1-ROW(INDIRECT("1:"&amp;LEN(B8))),1),(2^(ROW(INDIRECT("1:"&amp;LEN(B8)))-1)))</f>
        <v>2</v>
      </c>
      <c r="C9" s="59">
        <f ca="1">SUMPRODUCT(--MID(C8,LEN(C8)+1-ROW(INDIRECT("1:"&amp;LEN(C8))),1),(2^(ROW(INDIRECT("1:"&amp;LEN(C8)))-1)))</f>
        <v>1</v>
      </c>
      <c r="D9" s="59">
        <f ca="1">SUMPRODUCT(--MID(D8,LEN(D8)+1-ROW(INDIRECT("1:"&amp;LEN(D8))),1),(2^(ROW(INDIRECT("1:"&amp;LEN(D8)))-1)))</f>
        <v>3</v>
      </c>
      <c r="E9" s="11">
        <f t="shared" ca="1" si="2"/>
        <v>740</v>
      </c>
      <c r="F9" s="11">
        <f t="shared" ca="1" si="2"/>
        <v>810</v>
      </c>
      <c r="G9" s="59">
        <f t="shared" ca="1" si="2"/>
        <v>0</v>
      </c>
      <c r="H9" s="11">
        <f t="shared" ca="1" si="2"/>
        <v>0</v>
      </c>
      <c r="I9" s="11">
        <f t="shared" ca="1" si="2"/>
        <v>100</v>
      </c>
      <c r="J9" s="59">
        <f t="shared" ca="1" si="2"/>
        <v>0</v>
      </c>
      <c r="K9" s="11">
        <f t="shared" ca="1" si="2"/>
        <v>0</v>
      </c>
      <c r="L9" s="11">
        <f t="shared" ca="1" si="2"/>
        <v>8191</v>
      </c>
      <c r="M9" s="59">
        <f t="shared" ca="1" si="2"/>
        <v>600</v>
      </c>
      <c r="N9" s="11">
        <f t="shared" ca="1" si="2"/>
        <v>0</v>
      </c>
      <c r="O9" s="9"/>
      <c r="AMJ9"/>
    </row>
    <row r="10" spans="1:1024" ht="15.75" thickBot="1" x14ac:dyDescent="0.3">
      <c r="A10" s="12" t="s">
        <v>8</v>
      </c>
      <c r="B10" s="13">
        <f ca="1">B9</f>
        <v>2</v>
      </c>
      <c r="C10" s="13">
        <f ca="1">C9*C12+C15</f>
        <v>120</v>
      </c>
      <c r="D10" s="60">
        <f ca="1">D9*D12+D15</f>
        <v>3</v>
      </c>
      <c r="E10" s="13">
        <f t="shared" ref="E10:N10" ca="1" si="3">E9*E12+E15</f>
        <v>24</v>
      </c>
      <c r="F10" s="13">
        <f t="shared" ca="1" si="3"/>
        <v>31</v>
      </c>
      <c r="G10" s="60">
        <f t="shared" ca="1" si="3"/>
        <v>0</v>
      </c>
      <c r="H10" s="13">
        <f t="shared" ca="1" si="3"/>
        <v>0</v>
      </c>
      <c r="I10" s="13">
        <f t="shared" ca="1" si="3"/>
        <v>100</v>
      </c>
      <c r="J10" s="60">
        <f t="shared" ca="1" si="3"/>
        <v>0</v>
      </c>
      <c r="K10" s="13">
        <f t="shared" ca="1" si="3"/>
        <v>30000</v>
      </c>
      <c r="L10" s="13">
        <f t="shared" ca="1" si="3"/>
        <v>111910</v>
      </c>
      <c r="M10" s="60">
        <f t="shared" ca="1" si="3"/>
        <v>600</v>
      </c>
      <c r="N10" s="13">
        <f t="shared" ca="1" si="3"/>
        <v>0</v>
      </c>
      <c r="O10" s="14" t="s">
        <v>9</v>
      </c>
      <c r="AMJ10"/>
    </row>
    <row r="11" spans="1:1024" x14ac:dyDescent="0.25">
      <c r="A11" s="15" t="s">
        <v>10</v>
      </c>
      <c r="B11" s="55" t="s">
        <v>11</v>
      </c>
      <c r="C11" s="55" t="s">
        <v>109</v>
      </c>
      <c r="D11" s="61" t="s">
        <v>14</v>
      </c>
      <c r="E11" s="55" t="s">
        <v>113</v>
      </c>
      <c r="F11" s="55" t="s">
        <v>113</v>
      </c>
      <c r="G11" s="61" t="s">
        <v>14</v>
      </c>
      <c r="H11" s="55" t="s">
        <v>79</v>
      </c>
      <c r="I11" s="55" t="s">
        <v>79</v>
      </c>
      <c r="J11" s="61" t="s">
        <v>14</v>
      </c>
      <c r="K11" s="55" t="s">
        <v>112</v>
      </c>
      <c r="L11" s="55" t="s">
        <v>112</v>
      </c>
      <c r="M11" s="56" t="s">
        <v>128</v>
      </c>
      <c r="N11" s="50"/>
      <c r="O11" s="17"/>
      <c r="AMJ11"/>
    </row>
    <row r="12" spans="1:1024" x14ac:dyDescent="0.25">
      <c r="A12" s="18" t="s">
        <v>15</v>
      </c>
      <c r="B12" s="19">
        <v>1</v>
      </c>
      <c r="C12" s="19">
        <v>120</v>
      </c>
      <c r="D12" s="62">
        <v>1</v>
      </c>
      <c r="E12" s="19">
        <v>0.1</v>
      </c>
      <c r="F12" s="19">
        <v>0.1</v>
      </c>
      <c r="G12" s="62">
        <v>1</v>
      </c>
      <c r="H12" s="19">
        <v>1</v>
      </c>
      <c r="I12" s="19">
        <v>1</v>
      </c>
      <c r="J12" s="62">
        <v>1</v>
      </c>
      <c r="K12" s="19">
        <v>10</v>
      </c>
      <c r="L12" s="19">
        <v>10</v>
      </c>
      <c r="M12" s="62">
        <v>1</v>
      </c>
      <c r="N12" s="19">
        <v>1</v>
      </c>
      <c r="O12" s="20"/>
      <c r="AMJ12"/>
    </row>
    <row r="13" spans="1:1024" s="1" customFormat="1" x14ac:dyDescent="0.25">
      <c r="A13" s="21" t="s">
        <v>16</v>
      </c>
      <c r="B13" s="22">
        <v>2</v>
      </c>
      <c r="C13" s="23">
        <v>9</v>
      </c>
      <c r="D13" s="63">
        <v>2</v>
      </c>
      <c r="E13" s="23">
        <v>10</v>
      </c>
      <c r="F13" s="23">
        <v>10</v>
      </c>
      <c r="G13" s="63">
        <v>2</v>
      </c>
      <c r="H13" s="23">
        <v>7</v>
      </c>
      <c r="I13" s="23">
        <v>7</v>
      </c>
      <c r="J13" s="63">
        <v>2</v>
      </c>
      <c r="K13" s="23">
        <v>13</v>
      </c>
      <c r="L13" s="23">
        <v>13</v>
      </c>
      <c r="M13" s="63">
        <v>10</v>
      </c>
      <c r="N13" s="23">
        <v>9</v>
      </c>
      <c r="O13" s="24">
        <f>SUM(B13:N13)</f>
        <v>96</v>
      </c>
      <c r="P13" s="25"/>
      <c r="Q13" s="25"/>
      <c r="R13" s="25"/>
      <c r="S13" s="25"/>
      <c r="T13" s="25"/>
    </row>
    <row r="14" spans="1:1024" s="30" customFormat="1" x14ac:dyDescent="0.25">
      <c r="A14" s="26" t="s">
        <v>17</v>
      </c>
      <c r="B14" s="27">
        <f t="shared" ref="B14:N14" si="4">2^B13</f>
        <v>4</v>
      </c>
      <c r="C14" s="27">
        <f t="shared" si="4"/>
        <v>512</v>
      </c>
      <c r="D14" s="64">
        <f t="shared" si="4"/>
        <v>4</v>
      </c>
      <c r="E14" s="27">
        <f t="shared" si="4"/>
        <v>1024</v>
      </c>
      <c r="F14" s="27">
        <f t="shared" si="4"/>
        <v>1024</v>
      </c>
      <c r="G14" s="64">
        <f t="shared" si="4"/>
        <v>4</v>
      </c>
      <c r="H14" s="27">
        <f t="shared" si="4"/>
        <v>128</v>
      </c>
      <c r="I14" s="27">
        <f t="shared" si="4"/>
        <v>128</v>
      </c>
      <c r="J14" s="64">
        <f t="shared" si="4"/>
        <v>4</v>
      </c>
      <c r="K14" s="27">
        <f t="shared" si="4"/>
        <v>8192</v>
      </c>
      <c r="L14" s="27">
        <f t="shared" si="4"/>
        <v>8192</v>
      </c>
      <c r="M14" s="64">
        <f t="shared" si="4"/>
        <v>1024</v>
      </c>
      <c r="N14" s="27">
        <f t="shared" si="4"/>
        <v>512</v>
      </c>
      <c r="O14" s="28"/>
      <c r="P14" s="29"/>
      <c r="Q14" s="29"/>
      <c r="R14" s="29"/>
      <c r="S14" s="29"/>
      <c r="T14" s="29"/>
    </row>
    <row r="15" spans="1:1024" x14ac:dyDescent="0.25">
      <c r="A15" s="18" t="s">
        <v>18</v>
      </c>
      <c r="B15" s="19">
        <v>0</v>
      </c>
      <c r="C15" s="19">
        <v>0</v>
      </c>
      <c r="D15" s="62">
        <v>0</v>
      </c>
      <c r="E15" s="19">
        <v>-50</v>
      </c>
      <c r="F15" s="19">
        <v>-50</v>
      </c>
      <c r="G15" s="62">
        <v>0</v>
      </c>
      <c r="H15" s="19">
        <v>0</v>
      </c>
      <c r="I15" s="19">
        <v>0</v>
      </c>
      <c r="J15" s="62">
        <v>0</v>
      </c>
      <c r="K15" s="19">
        <v>30000</v>
      </c>
      <c r="L15" s="19">
        <v>30000</v>
      </c>
      <c r="M15" s="62">
        <v>0</v>
      </c>
      <c r="N15" s="19">
        <v>0</v>
      </c>
      <c r="O15" s="20"/>
      <c r="AMJ15"/>
    </row>
    <row r="16" spans="1:1024" s="30" customFormat="1" x14ac:dyDescent="0.25">
      <c r="A16" s="26" t="s">
        <v>19</v>
      </c>
      <c r="B16" s="31">
        <f t="shared" ref="B16:N16" si="5">(B14-1)*B12+B15</f>
        <v>3</v>
      </c>
      <c r="C16" s="27">
        <f>(C14-1)*C12+C15</f>
        <v>61320</v>
      </c>
      <c r="D16" s="64">
        <f t="shared" si="5"/>
        <v>3</v>
      </c>
      <c r="E16" s="68">
        <f t="shared" si="5"/>
        <v>52.300000000000011</v>
      </c>
      <c r="F16" s="31">
        <f t="shared" si="5"/>
        <v>52.300000000000011</v>
      </c>
      <c r="G16" s="67">
        <f t="shared" si="5"/>
        <v>3</v>
      </c>
      <c r="H16" s="31">
        <f t="shared" si="5"/>
        <v>127</v>
      </c>
      <c r="I16" s="31">
        <f t="shared" si="5"/>
        <v>127</v>
      </c>
      <c r="J16" s="67">
        <f t="shared" si="5"/>
        <v>3</v>
      </c>
      <c r="K16" s="31">
        <f t="shared" si="5"/>
        <v>111910</v>
      </c>
      <c r="L16" s="31">
        <f t="shared" si="5"/>
        <v>111910</v>
      </c>
      <c r="M16" s="67">
        <f t="shared" si="5"/>
        <v>1023</v>
      </c>
      <c r="N16" s="31">
        <f t="shared" si="5"/>
        <v>511</v>
      </c>
      <c r="O16" s="28"/>
    </row>
    <row r="17" spans="1:1024" x14ac:dyDescent="0.25">
      <c r="A17" s="18" t="s">
        <v>20</v>
      </c>
      <c r="B17" s="19">
        <v>0</v>
      </c>
      <c r="C17" s="19">
        <v>0</v>
      </c>
      <c r="D17" s="62">
        <v>0</v>
      </c>
      <c r="E17" s="19">
        <v>0</v>
      </c>
      <c r="F17" s="19">
        <v>0</v>
      </c>
      <c r="G17" s="62">
        <v>0</v>
      </c>
      <c r="H17" s="19">
        <v>0</v>
      </c>
      <c r="I17" s="19">
        <v>0</v>
      </c>
      <c r="J17" s="62">
        <v>0</v>
      </c>
      <c r="K17" s="19">
        <v>0</v>
      </c>
      <c r="L17" s="19">
        <v>0</v>
      </c>
      <c r="M17" s="62">
        <v>0</v>
      </c>
      <c r="N17" s="19">
        <v>0</v>
      </c>
      <c r="O17" s="20"/>
      <c r="AMJ17"/>
    </row>
    <row r="18" spans="1:1024" ht="15.75" thickBot="1" x14ac:dyDescent="0.3">
      <c r="A18" s="32" t="s">
        <v>21</v>
      </c>
      <c r="B18" s="33">
        <v>1</v>
      </c>
      <c r="C18" s="33">
        <v>360</v>
      </c>
      <c r="D18" s="65">
        <v>1</v>
      </c>
      <c r="E18" s="33">
        <v>50</v>
      </c>
      <c r="F18" s="33">
        <v>50</v>
      </c>
      <c r="G18" s="65">
        <v>1</v>
      </c>
      <c r="H18" s="33">
        <v>100</v>
      </c>
      <c r="I18" s="33">
        <v>100</v>
      </c>
      <c r="J18" s="65">
        <v>1</v>
      </c>
      <c r="K18" s="33">
        <v>108300</v>
      </c>
      <c r="L18" s="33">
        <v>108300</v>
      </c>
      <c r="M18" s="65">
        <v>1023</v>
      </c>
      <c r="N18" s="33">
        <v>0</v>
      </c>
      <c r="O18" s="24">
        <f>O13</f>
        <v>96</v>
      </c>
      <c r="P18" s="46">
        <f>O18/8</f>
        <v>12</v>
      </c>
      <c r="AMJ18"/>
    </row>
    <row r="19" spans="1:1024" x14ac:dyDescent="0.25">
      <c r="A19" s="34" t="s">
        <v>22</v>
      </c>
      <c r="B19" s="34" t="str">
        <f t="shared" ref="B19:N19" si="6">IF(B16&gt;=B18,"OK","ERROR")</f>
        <v>OK</v>
      </c>
      <c r="C19" s="34" t="str">
        <f t="shared" si="6"/>
        <v>OK</v>
      </c>
      <c r="D19" s="66" t="str">
        <f t="shared" si="6"/>
        <v>OK</v>
      </c>
      <c r="E19" s="34" t="str">
        <f t="shared" si="6"/>
        <v>OK</v>
      </c>
      <c r="F19" s="34" t="str">
        <f t="shared" si="6"/>
        <v>OK</v>
      </c>
      <c r="G19" s="66" t="str">
        <f t="shared" si="6"/>
        <v>OK</v>
      </c>
      <c r="H19" s="34" t="str">
        <f t="shared" si="6"/>
        <v>OK</v>
      </c>
      <c r="I19" s="34" t="str">
        <f t="shared" si="6"/>
        <v>OK</v>
      </c>
      <c r="J19" s="66" t="str">
        <f t="shared" si="6"/>
        <v>OK</v>
      </c>
      <c r="K19" s="34" t="str">
        <f t="shared" si="6"/>
        <v>OK</v>
      </c>
      <c r="L19" s="34" t="str">
        <f t="shared" si="6"/>
        <v>OK</v>
      </c>
      <c r="M19" s="66" t="str">
        <f t="shared" si="6"/>
        <v>OK</v>
      </c>
      <c r="N19" s="34" t="str">
        <f t="shared" si="6"/>
        <v>OK</v>
      </c>
      <c r="O19" s="35"/>
      <c r="AMJ19"/>
    </row>
    <row r="20" spans="1:102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37" customFormat="1" x14ac:dyDescent="0.25">
      <c r="A21" s="223" t="s">
        <v>47</v>
      </c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</row>
    <row r="22" spans="1:1024" s="37" customFormat="1" x14ac:dyDescent="0.25">
      <c r="A22" s="223" t="s">
        <v>48</v>
      </c>
      <c r="B22" s="223"/>
      <c r="C22" s="223"/>
      <c r="D22" s="223"/>
      <c r="E22" s="223"/>
      <c r="F22" s="223"/>
      <c r="G22" s="223"/>
      <c r="H22" s="223"/>
      <c r="J22" s="48" t="s">
        <v>64</v>
      </c>
      <c r="K22" s="47" t="s">
        <v>63</v>
      </c>
      <c r="L22" s="43"/>
    </row>
    <row r="23" spans="1:1024" s="37" customFormat="1" x14ac:dyDescent="0.25">
      <c r="A23" s="43" t="s">
        <v>49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024" s="37" customFormat="1" x14ac:dyDescent="0.25">
      <c r="A24" s="43" t="s">
        <v>50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5" spans="1:1024" s="37" customFormat="1" x14ac:dyDescent="0.25">
      <c r="A25" s="43" t="s">
        <v>51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024" s="37" customFormat="1" x14ac:dyDescent="0.25">
      <c r="A26" s="43" t="s">
        <v>67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spans="1:1024" s="37" customFormat="1" x14ac:dyDescent="0.25">
      <c r="A27" s="43" t="s">
        <v>65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024" s="37" customFormat="1" x14ac:dyDescent="0.25">
      <c r="A28" s="43" t="s">
        <v>66</v>
      </c>
    </row>
    <row r="29" spans="1:1024" s="37" customFormat="1" x14ac:dyDescent="0.25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024" s="37" customFormat="1" x14ac:dyDescent="0.25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024" s="37" customFormat="1" x14ac:dyDescent="0.25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024" s="38" customFormat="1" x14ac:dyDescent="0.25">
      <c r="A32" s="224" t="s">
        <v>24</v>
      </c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</row>
    <row r="33" spans="1:37" x14ac:dyDescent="0.25">
      <c r="A33" s="217" t="s">
        <v>52</v>
      </c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39"/>
      <c r="N33" s="39"/>
      <c r="O33" s="39"/>
      <c r="P33" s="39"/>
      <c r="Q33" s="39"/>
      <c r="R33" s="2"/>
    </row>
    <row r="34" spans="1:37" x14ac:dyDescent="0.25">
      <c r="A34" s="217" t="s">
        <v>53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39"/>
      <c r="N34" s="39"/>
      <c r="O34" s="39"/>
      <c r="P34" s="39"/>
      <c r="Q34" s="39"/>
      <c r="R34" s="2"/>
    </row>
    <row r="35" spans="1:37" x14ac:dyDescent="0.25">
      <c r="A35" s="225" t="s">
        <v>25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</row>
    <row r="36" spans="1:37" x14ac:dyDescent="0.25">
      <c r="A36" s="40" t="s">
        <v>26</v>
      </c>
      <c r="B36" s="41">
        <v>1</v>
      </c>
      <c r="C36" s="41">
        <v>2</v>
      </c>
      <c r="D36" s="41">
        <v>3</v>
      </c>
      <c r="E36" s="41">
        <v>4</v>
      </c>
      <c r="F36" s="41">
        <v>5</v>
      </c>
      <c r="G36" s="41">
        <v>6</v>
      </c>
      <c r="H36" s="41">
        <v>7</v>
      </c>
      <c r="I36" s="41">
        <v>8</v>
      </c>
      <c r="J36" s="41">
        <v>9</v>
      </c>
      <c r="K36" s="41">
        <v>10</v>
      </c>
      <c r="L36" s="41">
        <v>11</v>
      </c>
      <c r="M36" s="41">
        <v>12</v>
      </c>
      <c r="N36" s="41">
        <v>13</v>
      </c>
      <c r="O36" s="41">
        <v>14</v>
      </c>
      <c r="P36" s="41">
        <v>15</v>
      </c>
      <c r="Q36" s="41">
        <v>16</v>
      </c>
      <c r="R36" s="41">
        <v>17</v>
      </c>
      <c r="S36" s="41">
        <v>18</v>
      </c>
      <c r="T36" s="41">
        <v>19</v>
      </c>
      <c r="U36" s="41">
        <v>20</v>
      </c>
      <c r="V36" s="41">
        <v>21</v>
      </c>
      <c r="W36" s="41">
        <v>22</v>
      </c>
      <c r="X36" s="41">
        <v>23</v>
      </c>
      <c r="Y36" s="41">
        <v>24</v>
      </c>
      <c r="Z36" s="41">
        <v>25</v>
      </c>
      <c r="AA36" s="41">
        <v>26</v>
      </c>
      <c r="AB36" s="41">
        <v>27</v>
      </c>
      <c r="AC36" s="41">
        <v>28</v>
      </c>
      <c r="AD36" s="41">
        <v>29</v>
      </c>
      <c r="AE36" s="41">
        <v>30</v>
      </c>
      <c r="AF36" s="41">
        <v>31</v>
      </c>
      <c r="AG36" s="41">
        <v>32</v>
      </c>
      <c r="AH36" s="41">
        <v>33</v>
      </c>
      <c r="AI36" s="41">
        <v>34</v>
      </c>
      <c r="AJ36" s="41">
        <v>35</v>
      </c>
      <c r="AK36" s="41">
        <v>36</v>
      </c>
    </row>
    <row r="37" spans="1:37" x14ac:dyDescent="0.25">
      <c r="A37" s="40" t="s">
        <v>27</v>
      </c>
      <c r="B37" s="42" t="str">
        <f t="shared" ref="B37:AK37" si="7">MID($B4,B36,1)</f>
        <v>8</v>
      </c>
      <c r="C37" s="42" t="str">
        <f t="shared" si="7"/>
        <v>0</v>
      </c>
      <c r="D37" s="42" t="str">
        <f t="shared" si="7"/>
        <v>3</v>
      </c>
      <c r="E37" s="42" t="str">
        <f t="shared" si="7"/>
        <v>D</v>
      </c>
      <c r="F37" s="42" t="str">
        <f t="shared" si="7"/>
        <v>C</v>
      </c>
      <c r="G37" s="42" t="str">
        <f t="shared" si="7"/>
        <v>9</v>
      </c>
      <c r="H37" s="42" t="str">
        <f t="shared" si="7"/>
        <v>9</v>
      </c>
      <c r="I37" s="42" t="str">
        <f t="shared" si="7"/>
        <v>5</v>
      </c>
      <c r="J37" s="42" t="str">
        <f t="shared" si="7"/>
        <v>0</v>
      </c>
      <c r="K37" s="42" t="str">
        <f t="shared" si="7"/>
        <v>0</v>
      </c>
      <c r="L37" s="42" t="str">
        <f t="shared" si="7"/>
        <v>3</v>
      </c>
      <c r="M37" s="42" t="str">
        <f t="shared" si="7"/>
        <v>2</v>
      </c>
      <c r="N37" s="42" t="str">
        <f t="shared" si="7"/>
        <v>0</v>
      </c>
      <c r="O37" s="42" t="str">
        <f t="shared" si="7"/>
        <v>0</v>
      </c>
      <c r="P37" s="42" t="str">
        <f t="shared" si="7"/>
        <v>0</v>
      </c>
      <c r="Q37" s="42" t="str">
        <f t="shared" si="7"/>
        <v>0</v>
      </c>
      <c r="R37" s="42" t="str">
        <f t="shared" si="7"/>
        <v>F</v>
      </c>
      <c r="S37" s="42" t="str">
        <f t="shared" si="7"/>
        <v>F</v>
      </c>
      <c r="T37" s="42" t="str">
        <f t="shared" si="7"/>
        <v>F</v>
      </c>
      <c r="U37" s="42" t="str">
        <f t="shared" si="7"/>
        <v>C</v>
      </c>
      <c r="V37" s="42" t="str">
        <f t="shared" si="7"/>
        <v>B</v>
      </c>
      <c r="W37" s="42" t="str">
        <f t="shared" si="7"/>
        <v>0</v>
      </c>
      <c r="X37" s="42" t="str">
        <f t="shared" si="7"/>
        <v>0</v>
      </c>
      <c r="Y37" s="42" t="str">
        <f t="shared" si="7"/>
        <v>0</v>
      </c>
      <c r="Z37" s="42" t="str">
        <f t="shared" si="7"/>
        <v/>
      </c>
      <c r="AA37" s="42" t="str">
        <f t="shared" si="7"/>
        <v/>
      </c>
      <c r="AB37" s="42" t="str">
        <f t="shared" si="7"/>
        <v/>
      </c>
      <c r="AC37" s="42" t="str">
        <f t="shared" si="7"/>
        <v/>
      </c>
      <c r="AD37" s="42" t="str">
        <f t="shared" si="7"/>
        <v/>
      </c>
      <c r="AE37" s="42" t="str">
        <f t="shared" si="7"/>
        <v/>
      </c>
      <c r="AF37" s="42" t="str">
        <f t="shared" si="7"/>
        <v/>
      </c>
      <c r="AG37" s="42" t="str">
        <f t="shared" si="7"/>
        <v/>
      </c>
      <c r="AH37" s="42" t="str">
        <f t="shared" si="7"/>
        <v/>
      </c>
      <c r="AI37" s="42" t="str">
        <f t="shared" si="7"/>
        <v/>
      </c>
      <c r="AJ37" s="42" t="str">
        <f t="shared" si="7"/>
        <v/>
      </c>
      <c r="AK37" s="42" t="str">
        <f t="shared" si="7"/>
        <v/>
      </c>
    </row>
    <row r="38" spans="1:37" x14ac:dyDescent="0.25">
      <c r="A38" s="40" t="s">
        <v>28</v>
      </c>
      <c r="B38" s="41" t="str">
        <f t="shared" ref="B38:AK38" si="8">HEX2BIN(B37,4)</f>
        <v>1000</v>
      </c>
      <c r="C38" s="41" t="str">
        <f t="shared" si="8"/>
        <v>0000</v>
      </c>
      <c r="D38" s="41" t="str">
        <f t="shared" si="8"/>
        <v>0011</v>
      </c>
      <c r="E38" s="41" t="str">
        <f t="shared" si="8"/>
        <v>1101</v>
      </c>
      <c r="F38" s="41" t="str">
        <f t="shared" si="8"/>
        <v>1100</v>
      </c>
      <c r="G38" s="41" t="str">
        <f t="shared" si="8"/>
        <v>1001</v>
      </c>
      <c r="H38" s="41" t="str">
        <f t="shared" si="8"/>
        <v>1001</v>
      </c>
      <c r="I38" s="41" t="str">
        <f t="shared" si="8"/>
        <v>0101</v>
      </c>
      <c r="J38" s="41" t="str">
        <f t="shared" si="8"/>
        <v>0000</v>
      </c>
      <c r="K38" s="41" t="str">
        <f t="shared" si="8"/>
        <v>0000</v>
      </c>
      <c r="L38" s="41" t="str">
        <f t="shared" si="8"/>
        <v>0011</v>
      </c>
      <c r="M38" s="41" t="str">
        <f t="shared" si="8"/>
        <v>0010</v>
      </c>
      <c r="N38" s="41" t="str">
        <f t="shared" si="8"/>
        <v>0000</v>
      </c>
      <c r="O38" s="41" t="str">
        <f t="shared" si="8"/>
        <v>0000</v>
      </c>
      <c r="P38" s="41" t="str">
        <f t="shared" si="8"/>
        <v>0000</v>
      </c>
      <c r="Q38" s="41" t="str">
        <f t="shared" si="8"/>
        <v>0000</v>
      </c>
      <c r="R38" s="41" t="str">
        <f t="shared" si="8"/>
        <v>1111</v>
      </c>
      <c r="S38" s="41" t="str">
        <f t="shared" si="8"/>
        <v>1111</v>
      </c>
      <c r="T38" s="41" t="str">
        <f t="shared" si="8"/>
        <v>1111</v>
      </c>
      <c r="U38" s="41" t="str">
        <f t="shared" si="8"/>
        <v>1100</v>
      </c>
      <c r="V38" s="41" t="str">
        <f t="shared" si="8"/>
        <v>1011</v>
      </c>
      <c r="W38" s="41" t="str">
        <f t="shared" si="8"/>
        <v>0000</v>
      </c>
      <c r="X38" s="41" t="str">
        <f t="shared" si="8"/>
        <v>0000</v>
      </c>
      <c r="Y38" s="41" t="str">
        <f t="shared" si="8"/>
        <v>0000</v>
      </c>
      <c r="Z38" s="41" t="str">
        <f t="shared" si="8"/>
        <v>0000</v>
      </c>
      <c r="AA38" s="41" t="str">
        <f t="shared" si="8"/>
        <v>0000</v>
      </c>
      <c r="AB38" s="41" t="str">
        <f t="shared" si="8"/>
        <v>0000</v>
      </c>
      <c r="AC38" s="41" t="str">
        <f t="shared" si="8"/>
        <v>0000</v>
      </c>
      <c r="AD38" s="41" t="str">
        <f t="shared" si="8"/>
        <v>0000</v>
      </c>
      <c r="AE38" s="41" t="str">
        <f t="shared" si="8"/>
        <v>0000</v>
      </c>
      <c r="AF38" s="41" t="str">
        <f t="shared" si="8"/>
        <v>0000</v>
      </c>
      <c r="AG38" s="41" t="str">
        <f t="shared" si="8"/>
        <v>0000</v>
      </c>
      <c r="AH38" s="41" t="str">
        <f t="shared" si="8"/>
        <v>0000</v>
      </c>
      <c r="AI38" s="41" t="str">
        <f t="shared" si="8"/>
        <v>0000</v>
      </c>
      <c r="AJ38" s="41" t="str">
        <f t="shared" si="8"/>
        <v>0000</v>
      </c>
      <c r="AK38" s="41" t="str">
        <f t="shared" si="8"/>
        <v>0000</v>
      </c>
    </row>
    <row r="39" spans="1:37" x14ac:dyDescent="0.25">
      <c r="B39" s="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37" x14ac:dyDescent="0.25">
      <c r="A40" s="226" t="s">
        <v>29</v>
      </c>
      <c r="B40" s="226"/>
      <c r="C40" s="210" t="s">
        <v>30</v>
      </c>
      <c r="D40" s="210"/>
      <c r="E40" s="210"/>
      <c r="F40" s="227" t="s">
        <v>31</v>
      </c>
      <c r="G40" s="227"/>
      <c r="H40" s="210" t="s">
        <v>32</v>
      </c>
      <c r="I40" s="210"/>
      <c r="J40" s="210"/>
      <c r="K40" s="210"/>
      <c r="L40" s="210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</sheetData>
  <sheetProtection algorithmName="SHA-512" hashValue="PKVumjjiZ43mG96QNLzMZmmP7d4MyFtfN/uUNefRsjSgSQ9X7YVyccvPcJGNMSzGRfpVpk7Y7p+eysYWpEffLw==" saltValue="cX9/x5nMxOkhWlpa5URn0g==" spinCount="100000" sheet="1" objects="1" scenarios="1"/>
  <mergeCells count="18">
    <mergeCell ref="A34:L34"/>
    <mergeCell ref="A35:Y35"/>
    <mergeCell ref="A40:B40"/>
    <mergeCell ref="C40:E40"/>
    <mergeCell ref="F40:G40"/>
    <mergeCell ref="H40:L40"/>
    <mergeCell ref="A33:L33"/>
    <mergeCell ref="A1:Y1"/>
    <mergeCell ref="A2:M2"/>
    <mergeCell ref="A3:L3"/>
    <mergeCell ref="B4:L4"/>
    <mergeCell ref="B5:O5"/>
    <mergeCell ref="A21:L21"/>
    <mergeCell ref="A22:H22"/>
    <mergeCell ref="A29:L29"/>
    <mergeCell ref="A30:L30"/>
    <mergeCell ref="A31:L31"/>
    <mergeCell ref="A32:L32"/>
  </mergeCells>
  <hyperlinks>
    <hyperlink ref="A33" r:id="rId1" xr:uid="{4EB1A306-57DB-4E15-8E56-3C8075C80D2E}"/>
    <hyperlink ref="A34" r:id="rId2" xr:uid="{5BA38FD8-F81F-42E7-A3FA-F71D7AF0AE21}"/>
    <hyperlink ref="C40" r:id="rId3" xr:uid="{A8DD4D02-38B9-4B7B-A57E-3EC624E57BB0}"/>
    <hyperlink ref="H40" r:id="rId4" xr:uid="{2D4AEF7A-17E6-48AE-9BFA-75DBD2E2A299}"/>
    <hyperlink ref="K22" r:id="rId5" xr:uid="{503467E2-D2AC-4631-BE80-66C1C11556D7}"/>
  </hyperlinks>
  <pageMargins left="0.25" right="0.25" top="0.75" bottom="0.75" header="0.51180555555555496" footer="0.51180555555555496"/>
  <pageSetup paperSize="9" firstPageNumber="0" fitToHeight="0" orientation="landscape" horizontalDpi="300" verticalDpi="300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A870-1DE7-47BD-877A-9998A039BE03}">
  <sheetPr>
    <pageSetUpPr fitToPage="1"/>
  </sheetPr>
  <dimension ref="A1:AMJ40"/>
  <sheetViews>
    <sheetView zoomScale="115" zoomScaleNormal="115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2" customWidth="1"/>
    <col min="3" max="3" width="18.42578125" style="1" bestFit="1" customWidth="1"/>
    <col min="4" max="4" width="12.85546875" style="1" customWidth="1"/>
    <col min="5" max="5" width="13.7109375" style="1" customWidth="1"/>
    <col min="6" max="9" width="13.5703125" style="1" customWidth="1"/>
    <col min="10" max="10" width="13.42578125" style="1" customWidth="1"/>
    <col min="11" max="11" width="13.5703125" style="1" customWidth="1"/>
    <col min="12" max="12" width="20.42578125" style="1" customWidth="1"/>
    <col min="13" max="14" width="19.5703125" style="1" customWidth="1"/>
    <col min="15" max="15" width="9" style="1" customWidth="1"/>
    <col min="16" max="16" width="21.7109375" style="1" customWidth="1"/>
    <col min="17" max="17" width="10.28515625" style="1" customWidth="1"/>
    <col min="18" max="18" width="14.140625" style="1" customWidth="1"/>
    <col min="19" max="19" width="13.5703125" style="1" customWidth="1"/>
    <col min="20" max="25" width="5" style="1" customWidth="1"/>
    <col min="26" max="1024" width="9.140625" style="1"/>
  </cols>
  <sheetData>
    <row r="1" spans="1:1024" ht="18.75" x14ac:dyDescent="0.25">
      <c r="A1" s="219" t="s">
        <v>33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1024" ht="34.5" customHeight="1" x14ac:dyDescent="0.25">
      <c r="A2" s="220" t="s">
        <v>0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1024" x14ac:dyDescent="0.25">
      <c r="A3" s="221" t="s">
        <v>107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1024" ht="15.75" x14ac:dyDescent="0.25">
      <c r="A4" s="5" t="s">
        <v>1</v>
      </c>
      <c r="B4" s="218" t="s">
        <v>132</v>
      </c>
      <c r="C4" s="218"/>
      <c r="D4" s="218"/>
      <c r="E4" s="218"/>
      <c r="F4" s="218"/>
      <c r="G4" s="218"/>
      <c r="H4" s="218"/>
      <c r="I4" s="218"/>
      <c r="J4" s="218"/>
      <c r="K4" s="218"/>
      <c r="L4" s="218"/>
    </row>
    <row r="5" spans="1:1024" x14ac:dyDescent="0.25">
      <c r="A5" s="6" t="s">
        <v>2</v>
      </c>
      <c r="B5" s="222" t="str">
        <f>CONCATENATE(B38,C38,D38,E38,F38,G38,H38,I38,J38,K38,L38,M38,N38,O38,P38,Q38,R38,S38,T38,U38,V38,W38,X38,Y38,Z38,AA38,AB38,AC38,AD38,AE38,AF38,AG38,AH38,AI38,AJ38,AK38)</f>
        <v>110001011000001010100001000010000111000001010000000000000000000000000000000000000000000000000000000000000000000000000000000000000000000000000000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</row>
    <row r="6" spans="1:1024" x14ac:dyDescent="0.25">
      <c r="A6" s="6" t="s">
        <v>3</v>
      </c>
      <c r="B6" s="7">
        <v>1</v>
      </c>
      <c r="C6" s="8">
        <f t="shared" ref="C6:M6" si="0">B6+B13</f>
        <v>3</v>
      </c>
      <c r="D6" s="57">
        <f t="shared" si="0"/>
        <v>12</v>
      </c>
      <c r="E6" s="8">
        <f t="shared" si="0"/>
        <v>14</v>
      </c>
      <c r="F6" s="8">
        <f t="shared" si="0"/>
        <v>24</v>
      </c>
      <c r="G6" s="57">
        <f t="shared" si="0"/>
        <v>34</v>
      </c>
      <c r="H6" s="8">
        <f t="shared" si="0"/>
        <v>36</v>
      </c>
      <c r="I6" s="8">
        <f t="shared" si="0"/>
        <v>43</v>
      </c>
      <c r="J6" s="57">
        <f t="shared" si="0"/>
        <v>50</v>
      </c>
      <c r="K6" s="8">
        <f t="shared" si="0"/>
        <v>52</v>
      </c>
      <c r="L6" s="8">
        <f t="shared" si="0"/>
        <v>65</v>
      </c>
      <c r="M6" s="57">
        <f t="shared" si="0"/>
        <v>78</v>
      </c>
      <c r="N6" s="8">
        <f t="shared" ref="N6" si="1">M6+M13</f>
        <v>88</v>
      </c>
      <c r="O6" s="9"/>
      <c r="AMJ6"/>
    </row>
    <row r="7" spans="1:1024" ht="75" x14ac:dyDescent="0.25">
      <c r="A7" s="6" t="s">
        <v>4</v>
      </c>
      <c r="B7" s="53" t="s">
        <v>35</v>
      </c>
      <c r="C7" s="44" t="s">
        <v>110</v>
      </c>
      <c r="D7" s="58" t="s">
        <v>118</v>
      </c>
      <c r="E7" s="54" t="s">
        <v>117</v>
      </c>
      <c r="F7" s="54" t="s">
        <v>116</v>
      </c>
      <c r="G7" s="58" t="s">
        <v>119</v>
      </c>
      <c r="H7" s="54" t="s">
        <v>88</v>
      </c>
      <c r="I7" s="54" t="s">
        <v>91</v>
      </c>
      <c r="J7" s="58" t="s">
        <v>120</v>
      </c>
      <c r="K7" s="54" t="s">
        <v>90</v>
      </c>
      <c r="L7" s="54" t="s">
        <v>89</v>
      </c>
      <c r="M7" s="52" t="s">
        <v>115</v>
      </c>
      <c r="N7" s="45" t="s">
        <v>114</v>
      </c>
      <c r="O7" s="9"/>
      <c r="AMJ7"/>
    </row>
    <row r="8" spans="1:1024" x14ac:dyDescent="0.25">
      <c r="A8" s="6" t="s">
        <v>6</v>
      </c>
      <c r="B8" s="11" t="str">
        <f t="shared" ref="B8:M8" si="2">MID($B5,B6,B13)</f>
        <v>11</v>
      </c>
      <c r="C8" s="11" t="str">
        <f t="shared" si="2"/>
        <v>000101100</v>
      </c>
      <c r="D8" s="59" t="str">
        <f t="shared" si="2"/>
        <v>00</v>
      </c>
      <c r="E8" s="11" t="str">
        <f t="shared" si="2"/>
        <v>0101010000</v>
      </c>
      <c r="F8" s="11" t="str">
        <f t="shared" si="2"/>
        <v>1000010000</v>
      </c>
      <c r="G8" s="59" t="str">
        <f t="shared" si="2"/>
        <v>11</v>
      </c>
      <c r="H8" s="11" t="str">
        <f t="shared" si="2"/>
        <v>1000001</v>
      </c>
      <c r="I8" s="11" t="str">
        <f t="shared" si="2"/>
        <v>0100000</v>
      </c>
      <c r="J8" s="59" t="str">
        <f t="shared" si="2"/>
        <v>00</v>
      </c>
      <c r="K8" s="11" t="str">
        <f t="shared" si="2"/>
        <v>0000000000000</v>
      </c>
      <c r="L8" s="11" t="str">
        <f t="shared" si="2"/>
        <v>0000000000000</v>
      </c>
      <c r="M8" s="59" t="str">
        <f t="shared" si="2"/>
        <v>0000000000</v>
      </c>
      <c r="N8" s="11" t="str">
        <f t="shared" ref="N8" si="3">MID($B5,N6,N13)</f>
        <v>000000000</v>
      </c>
      <c r="O8" s="9"/>
      <c r="AMJ8"/>
    </row>
    <row r="9" spans="1:1024" x14ac:dyDescent="0.25">
      <c r="A9" s="6" t="s">
        <v>7</v>
      </c>
      <c r="B9" s="11">
        <f t="shared" ref="B9:N9" ca="1" si="4">SUMPRODUCT(--MID(B8,LEN(B8)+1-ROW(INDIRECT("1:"&amp;LEN(B8))),1),(2^(ROW(INDIRECT("1:"&amp;LEN(B8)))-1)))</f>
        <v>3</v>
      </c>
      <c r="C9" s="11">
        <f t="shared" ca="1" si="4"/>
        <v>44</v>
      </c>
      <c r="D9" s="59">
        <f t="shared" ca="1" si="4"/>
        <v>0</v>
      </c>
      <c r="E9" s="11">
        <f t="shared" ca="1" si="4"/>
        <v>336</v>
      </c>
      <c r="F9" s="11">
        <f t="shared" ca="1" si="4"/>
        <v>528</v>
      </c>
      <c r="G9" s="59">
        <f t="shared" ca="1" si="4"/>
        <v>3</v>
      </c>
      <c r="H9" s="11">
        <f t="shared" ca="1" si="4"/>
        <v>65</v>
      </c>
      <c r="I9" s="11">
        <f t="shared" ca="1" si="4"/>
        <v>32</v>
      </c>
      <c r="J9" s="59">
        <f t="shared" ca="1" si="4"/>
        <v>0</v>
      </c>
      <c r="K9" s="11">
        <f t="shared" ca="1" si="4"/>
        <v>0</v>
      </c>
      <c r="L9" s="11">
        <f t="shared" ca="1" si="4"/>
        <v>0</v>
      </c>
      <c r="M9" s="59">
        <f t="shared" ca="1" si="4"/>
        <v>0</v>
      </c>
      <c r="N9" s="11">
        <f t="shared" ca="1" si="4"/>
        <v>0</v>
      </c>
      <c r="O9" s="9"/>
      <c r="AMJ9"/>
    </row>
    <row r="10" spans="1:1024" ht="15.75" thickBot="1" x14ac:dyDescent="0.3">
      <c r="A10" s="12" t="s">
        <v>8</v>
      </c>
      <c r="B10" s="13">
        <f ca="1">B9</f>
        <v>3</v>
      </c>
      <c r="C10" s="13">
        <f ca="1">C9*C12+C15</f>
        <v>5280</v>
      </c>
      <c r="D10" s="60">
        <f t="shared" ref="D10:M10" ca="1" si="5">D9*D12+D15</f>
        <v>0</v>
      </c>
      <c r="E10" s="13">
        <f t="shared" ca="1" si="5"/>
        <v>-16.399999999999999</v>
      </c>
      <c r="F10" s="13">
        <f t="shared" ca="1" si="5"/>
        <v>2.8000000000000043</v>
      </c>
      <c r="G10" s="60">
        <f t="shared" ca="1" si="5"/>
        <v>3</v>
      </c>
      <c r="H10" s="13">
        <f t="shared" ca="1" si="5"/>
        <v>65</v>
      </c>
      <c r="I10" s="13">
        <f t="shared" ca="1" si="5"/>
        <v>32</v>
      </c>
      <c r="J10" s="60">
        <f t="shared" ca="1" si="5"/>
        <v>0</v>
      </c>
      <c r="K10" s="13">
        <f t="shared" ca="1" si="5"/>
        <v>30000</v>
      </c>
      <c r="L10" s="13">
        <f t="shared" ca="1" si="5"/>
        <v>30000</v>
      </c>
      <c r="M10" s="60">
        <f t="shared" ca="1" si="5"/>
        <v>0</v>
      </c>
      <c r="N10" s="13">
        <f t="shared" ref="N10" ca="1" si="6">N9*N12+N15</f>
        <v>0</v>
      </c>
      <c r="O10" s="14" t="s">
        <v>9</v>
      </c>
      <c r="AMJ10"/>
    </row>
    <row r="11" spans="1:1024" x14ac:dyDescent="0.25">
      <c r="A11" s="15" t="s">
        <v>10</v>
      </c>
      <c r="B11" s="55" t="s">
        <v>11</v>
      </c>
      <c r="C11" s="55" t="s">
        <v>109</v>
      </c>
      <c r="D11" s="61" t="s">
        <v>14</v>
      </c>
      <c r="E11" s="55" t="s">
        <v>113</v>
      </c>
      <c r="F11" s="55" t="s">
        <v>113</v>
      </c>
      <c r="G11" s="61" t="s">
        <v>14</v>
      </c>
      <c r="H11" s="55" t="s">
        <v>79</v>
      </c>
      <c r="I11" s="55" t="s">
        <v>79</v>
      </c>
      <c r="J11" s="61" t="s">
        <v>14</v>
      </c>
      <c r="K11" s="55" t="s">
        <v>112</v>
      </c>
      <c r="L11" s="55" t="s">
        <v>112</v>
      </c>
      <c r="M11" s="56" t="s">
        <v>128</v>
      </c>
      <c r="N11" s="50"/>
      <c r="O11" s="17"/>
      <c r="AMJ11"/>
    </row>
    <row r="12" spans="1:1024" x14ac:dyDescent="0.25">
      <c r="A12" s="18" t="s">
        <v>15</v>
      </c>
      <c r="B12" s="19">
        <v>1</v>
      </c>
      <c r="C12" s="19">
        <v>120</v>
      </c>
      <c r="D12" s="62">
        <v>1</v>
      </c>
      <c r="E12" s="19">
        <v>0.1</v>
      </c>
      <c r="F12" s="19">
        <v>0.1</v>
      </c>
      <c r="G12" s="62">
        <v>1</v>
      </c>
      <c r="H12" s="19">
        <v>1</v>
      </c>
      <c r="I12" s="19">
        <v>1</v>
      </c>
      <c r="J12" s="62">
        <v>1</v>
      </c>
      <c r="K12" s="19">
        <v>10</v>
      </c>
      <c r="L12" s="19">
        <v>10</v>
      </c>
      <c r="M12" s="62">
        <v>1</v>
      </c>
      <c r="N12" s="19">
        <v>1</v>
      </c>
      <c r="O12" s="20"/>
      <c r="AMJ12"/>
    </row>
    <row r="13" spans="1:1024" s="1" customFormat="1" x14ac:dyDescent="0.25">
      <c r="A13" s="21" t="s">
        <v>16</v>
      </c>
      <c r="B13" s="22">
        <v>2</v>
      </c>
      <c r="C13" s="23">
        <v>9</v>
      </c>
      <c r="D13" s="63">
        <v>2</v>
      </c>
      <c r="E13" s="23">
        <v>10</v>
      </c>
      <c r="F13" s="23">
        <v>10</v>
      </c>
      <c r="G13" s="63">
        <v>2</v>
      </c>
      <c r="H13" s="23">
        <v>7</v>
      </c>
      <c r="I13" s="23">
        <v>7</v>
      </c>
      <c r="J13" s="63">
        <v>2</v>
      </c>
      <c r="K13" s="23">
        <v>13</v>
      </c>
      <c r="L13" s="23">
        <v>13</v>
      </c>
      <c r="M13" s="63">
        <v>10</v>
      </c>
      <c r="N13" s="23">
        <v>9</v>
      </c>
      <c r="O13" s="24">
        <f>SUM(B13:N13)</f>
        <v>96</v>
      </c>
      <c r="P13" s="25"/>
      <c r="Q13" s="25"/>
      <c r="R13" s="25"/>
      <c r="S13" s="25"/>
      <c r="T13" s="25"/>
    </row>
    <row r="14" spans="1:1024" s="30" customFormat="1" x14ac:dyDescent="0.25">
      <c r="A14" s="26" t="s">
        <v>17</v>
      </c>
      <c r="B14" s="27">
        <f t="shared" ref="B14:M14" si="7">2^B13</f>
        <v>4</v>
      </c>
      <c r="C14" s="27">
        <f t="shared" si="7"/>
        <v>512</v>
      </c>
      <c r="D14" s="64">
        <f t="shared" si="7"/>
        <v>4</v>
      </c>
      <c r="E14" s="27">
        <f t="shared" si="7"/>
        <v>1024</v>
      </c>
      <c r="F14" s="27">
        <f t="shared" si="7"/>
        <v>1024</v>
      </c>
      <c r="G14" s="64">
        <f t="shared" si="7"/>
        <v>4</v>
      </c>
      <c r="H14" s="27">
        <f t="shared" si="7"/>
        <v>128</v>
      </c>
      <c r="I14" s="27">
        <f t="shared" si="7"/>
        <v>128</v>
      </c>
      <c r="J14" s="64">
        <f t="shared" si="7"/>
        <v>4</v>
      </c>
      <c r="K14" s="27">
        <f t="shared" si="7"/>
        <v>8192</v>
      </c>
      <c r="L14" s="27">
        <f t="shared" si="7"/>
        <v>8192</v>
      </c>
      <c r="M14" s="64">
        <f t="shared" si="7"/>
        <v>1024</v>
      </c>
      <c r="N14" s="27">
        <f t="shared" ref="N14" si="8">2^N13</f>
        <v>512</v>
      </c>
      <c r="O14" s="28"/>
      <c r="P14" s="29"/>
      <c r="Q14" s="29"/>
      <c r="R14" s="29"/>
      <c r="S14" s="29"/>
      <c r="T14" s="29"/>
    </row>
    <row r="15" spans="1:1024" x14ac:dyDescent="0.25">
      <c r="A15" s="18" t="s">
        <v>18</v>
      </c>
      <c r="B15" s="19">
        <v>0</v>
      </c>
      <c r="C15" s="19">
        <v>0</v>
      </c>
      <c r="D15" s="62">
        <v>0</v>
      </c>
      <c r="E15" s="19">
        <v>-50</v>
      </c>
      <c r="F15" s="19">
        <v>-50</v>
      </c>
      <c r="G15" s="62">
        <v>0</v>
      </c>
      <c r="H15" s="19">
        <v>0</v>
      </c>
      <c r="I15" s="19">
        <v>0</v>
      </c>
      <c r="J15" s="62">
        <v>0</v>
      </c>
      <c r="K15" s="19">
        <v>30000</v>
      </c>
      <c r="L15" s="19">
        <v>30000</v>
      </c>
      <c r="M15" s="62">
        <v>0</v>
      </c>
      <c r="N15" s="19">
        <v>0</v>
      </c>
      <c r="O15" s="20"/>
      <c r="AMJ15"/>
    </row>
    <row r="16" spans="1:1024" s="30" customFormat="1" x14ac:dyDescent="0.25">
      <c r="A16" s="26" t="s">
        <v>19</v>
      </c>
      <c r="B16" s="31">
        <f t="shared" ref="B16:M16" si="9">(B14-1)*B12+B15</f>
        <v>3</v>
      </c>
      <c r="C16" s="27">
        <f>C14*C12+C15</f>
        <v>61440</v>
      </c>
      <c r="D16" s="64">
        <f t="shared" si="9"/>
        <v>3</v>
      </c>
      <c r="E16" s="68">
        <f t="shared" si="9"/>
        <v>52.300000000000011</v>
      </c>
      <c r="F16" s="31">
        <f t="shared" si="9"/>
        <v>52.300000000000011</v>
      </c>
      <c r="G16" s="67">
        <f t="shared" si="9"/>
        <v>3</v>
      </c>
      <c r="H16" s="31">
        <f t="shared" si="9"/>
        <v>127</v>
      </c>
      <c r="I16" s="31">
        <f t="shared" si="9"/>
        <v>127</v>
      </c>
      <c r="J16" s="67">
        <f t="shared" si="9"/>
        <v>3</v>
      </c>
      <c r="K16" s="31">
        <f t="shared" si="9"/>
        <v>111910</v>
      </c>
      <c r="L16" s="31">
        <f t="shared" si="9"/>
        <v>111910</v>
      </c>
      <c r="M16" s="67">
        <f t="shared" si="9"/>
        <v>1023</v>
      </c>
      <c r="N16" s="31">
        <f t="shared" ref="N16" si="10">(N14-1)*N12+N15</f>
        <v>511</v>
      </c>
      <c r="O16" s="28"/>
    </row>
    <row r="17" spans="1:1024" x14ac:dyDescent="0.25">
      <c r="A17" s="18" t="s">
        <v>20</v>
      </c>
      <c r="B17" s="19">
        <v>0</v>
      </c>
      <c r="C17" s="19">
        <v>0</v>
      </c>
      <c r="D17" s="62">
        <v>0</v>
      </c>
      <c r="E17" s="19">
        <v>0</v>
      </c>
      <c r="F17" s="19">
        <v>0</v>
      </c>
      <c r="G17" s="62">
        <v>0</v>
      </c>
      <c r="H17" s="19">
        <v>0</v>
      </c>
      <c r="I17" s="19">
        <v>0</v>
      </c>
      <c r="J17" s="62">
        <v>0</v>
      </c>
      <c r="K17" s="19">
        <v>0</v>
      </c>
      <c r="L17" s="19">
        <v>0</v>
      </c>
      <c r="M17" s="62">
        <v>0</v>
      </c>
      <c r="N17" s="19">
        <v>0</v>
      </c>
      <c r="O17" s="20"/>
      <c r="AMJ17"/>
    </row>
    <row r="18" spans="1:1024" ht="15.75" thickBot="1" x14ac:dyDescent="0.3">
      <c r="A18" s="32" t="s">
        <v>21</v>
      </c>
      <c r="B18" s="33">
        <v>1</v>
      </c>
      <c r="C18" s="33">
        <v>360</v>
      </c>
      <c r="D18" s="65">
        <v>1</v>
      </c>
      <c r="E18" s="33">
        <v>50</v>
      </c>
      <c r="F18" s="33">
        <v>50</v>
      </c>
      <c r="G18" s="65">
        <v>1</v>
      </c>
      <c r="H18" s="33">
        <v>100</v>
      </c>
      <c r="I18" s="33">
        <v>100</v>
      </c>
      <c r="J18" s="65">
        <v>1</v>
      </c>
      <c r="K18" s="33">
        <v>108300</v>
      </c>
      <c r="L18" s="33">
        <v>108300</v>
      </c>
      <c r="M18" s="65">
        <v>1023</v>
      </c>
      <c r="N18" s="33">
        <v>0</v>
      </c>
      <c r="O18" s="24">
        <f>O13</f>
        <v>96</v>
      </c>
      <c r="P18" s="46">
        <f>O18/8</f>
        <v>12</v>
      </c>
      <c r="AMJ18"/>
    </row>
    <row r="19" spans="1:1024" x14ac:dyDescent="0.25">
      <c r="A19" s="34" t="s">
        <v>22</v>
      </c>
      <c r="B19" s="34" t="str">
        <f t="shared" ref="B19:M19" si="11">IF(B16&gt;=B18,"OK","ERROR")</f>
        <v>OK</v>
      </c>
      <c r="C19" s="34" t="str">
        <f t="shared" si="11"/>
        <v>OK</v>
      </c>
      <c r="D19" s="66" t="str">
        <f t="shared" si="11"/>
        <v>OK</v>
      </c>
      <c r="E19" s="34" t="str">
        <f t="shared" si="11"/>
        <v>OK</v>
      </c>
      <c r="F19" s="34" t="str">
        <f t="shared" si="11"/>
        <v>OK</v>
      </c>
      <c r="G19" s="66" t="str">
        <f t="shared" si="11"/>
        <v>OK</v>
      </c>
      <c r="H19" s="34" t="str">
        <f t="shared" si="11"/>
        <v>OK</v>
      </c>
      <c r="I19" s="34" t="str">
        <f t="shared" si="11"/>
        <v>OK</v>
      </c>
      <c r="J19" s="66" t="str">
        <f t="shared" si="11"/>
        <v>OK</v>
      </c>
      <c r="K19" s="34" t="str">
        <f t="shared" si="11"/>
        <v>OK</v>
      </c>
      <c r="L19" s="34" t="str">
        <f t="shared" si="11"/>
        <v>OK</v>
      </c>
      <c r="M19" s="66" t="str">
        <f t="shared" si="11"/>
        <v>OK</v>
      </c>
      <c r="N19" s="34" t="str">
        <f t="shared" ref="N19" si="12">IF(N16&gt;=N18,"OK","ERROR")</f>
        <v>OK</v>
      </c>
      <c r="O19" s="35"/>
      <c r="AMJ19"/>
    </row>
    <row r="20" spans="1:1024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s="37" customFormat="1" x14ac:dyDescent="0.25">
      <c r="A21" s="223" t="s">
        <v>47</v>
      </c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</row>
    <row r="22" spans="1:1024" s="37" customFormat="1" x14ac:dyDescent="0.25">
      <c r="A22" s="223" t="s">
        <v>48</v>
      </c>
      <c r="B22" s="223"/>
      <c r="C22" s="223"/>
      <c r="D22" s="223"/>
      <c r="E22" s="223"/>
      <c r="F22" s="223"/>
      <c r="G22" s="223"/>
      <c r="H22" s="223"/>
      <c r="J22" s="48" t="s">
        <v>64</v>
      </c>
      <c r="K22" s="47" t="s">
        <v>63</v>
      </c>
      <c r="L22" s="43"/>
    </row>
    <row r="23" spans="1:1024" s="37" customFormat="1" x14ac:dyDescent="0.25">
      <c r="A23" s="43" t="s">
        <v>49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024" s="37" customFormat="1" x14ac:dyDescent="0.25">
      <c r="A24" s="43" t="s">
        <v>50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5" spans="1:1024" s="37" customFormat="1" x14ac:dyDescent="0.25">
      <c r="A25" s="43" t="s">
        <v>51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024" s="37" customFormat="1" x14ac:dyDescent="0.25">
      <c r="A26" s="43" t="s">
        <v>67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spans="1:1024" s="37" customFormat="1" x14ac:dyDescent="0.25">
      <c r="A27" s="43" t="s">
        <v>65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024" s="37" customFormat="1" x14ac:dyDescent="0.25">
      <c r="A28" s="43" t="s">
        <v>66</v>
      </c>
    </row>
    <row r="29" spans="1:1024" s="37" customFormat="1" x14ac:dyDescent="0.25">
      <c r="A29" s="223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</row>
    <row r="30" spans="1:1024" s="37" customFormat="1" x14ac:dyDescent="0.25">
      <c r="A30" s="223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</row>
    <row r="31" spans="1:1024" s="37" customFormat="1" x14ac:dyDescent="0.25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</row>
    <row r="32" spans="1:1024" s="38" customFormat="1" x14ac:dyDescent="0.25">
      <c r="A32" s="224" t="s">
        <v>24</v>
      </c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</row>
    <row r="33" spans="1:37" x14ac:dyDescent="0.25">
      <c r="A33" s="217" t="s">
        <v>52</v>
      </c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39"/>
      <c r="N33" s="39"/>
      <c r="O33" s="39"/>
      <c r="P33" s="39"/>
      <c r="Q33" s="39"/>
      <c r="R33" s="2"/>
    </row>
    <row r="34" spans="1:37" x14ac:dyDescent="0.25">
      <c r="A34" s="217" t="s">
        <v>53</v>
      </c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39"/>
      <c r="N34" s="39"/>
      <c r="O34" s="39"/>
      <c r="P34" s="39"/>
      <c r="Q34" s="39"/>
      <c r="R34" s="2"/>
    </row>
    <row r="35" spans="1:37" x14ac:dyDescent="0.25">
      <c r="A35" s="225" t="s">
        <v>25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</row>
    <row r="36" spans="1:37" x14ac:dyDescent="0.25">
      <c r="A36" s="40" t="s">
        <v>26</v>
      </c>
      <c r="B36" s="41">
        <v>1</v>
      </c>
      <c r="C36" s="41">
        <v>2</v>
      </c>
      <c r="D36" s="41">
        <v>3</v>
      </c>
      <c r="E36" s="41">
        <v>4</v>
      </c>
      <c r="F36" s="41">
        <v>5</v>
      </c>
      <c r="G36" s="41">
        <v>6</v>
      </c>
      <c r="H36" s="41">
        <v>7</v>
      </c>
      <c r="I36" s="41">
        <v>8</v>
      </c>
      <c r="J36" s="41">
        <v>9</v>
      </c>
      <c r="K36" s="41">
        <v>10</v>
      </c>
      <c r="L36" s="41">
        <v>11</v>
      </c>
      <c r="M36" s="41">
        <v>12</v>
      </c>
      <c r="N36" s="41">
        <v>13</v>
      </c>
      <c r="O36" s="41">
        <v>14</v>
      </c>
      <c r="P36" s="41">
        <v>15</v>
      </c>
      <c r="Q36" s="41">
        <v>16</v>
      </c>
      <c r="R36" s="41">
        <v>17</v>
      </c>
      <c r="S36" s="41">
        <v>18</v>
      </c>
      <c r="T36" s="41">
        <v>19</v>
      </c>
      <c r="U36" s="41">
        <v>20</v>
      </c>
      <c r="V36" s="41">
        <v>21</v>
      </c>
      <c r="W36" s="41">
        <v>22</v>
      </c>
      <c r="X36" s="41">
        <v>23</v>
      </c>
      <c r="Y36" s="41">
        <v>24</v>
      </c>
      <c r="Z36" s="41">
        <v>25</v>
      </c>
      <c r="AA36" s="41">
        <v>26</v>
      </c>
      <c r="AB36" s="41">
        <v>27</v>
      </c>
      <c r="AC36" s="41">
        <v>28</v>
      </c>
      <c r="AD36" s="41">
        <v>29</v>
      </c>
      <c r="AE36" s="41">
        <v>30</v>
      </c>
      <c r="AF36" s="41">
        <v>31</v>
      </c>
      <c r="AG36" s="41">
        <v>32</v>
      </c>
      <c r="AH36" s="41">
        <v>33</v>
      </c>
      <c r="AI36" s="41">
        <v>34</v>
      </c>
      <c r="AJ36" s="41">
        <v>35</v>
      </c>
      <c r="AK36" s="41">
        <v>36</v>
      </c>
    </row>
    <row r="37" spans="1:37" x14ac:dyDescent="0.25">
      <c r="A37" s="40" t="s">
        <v>27</v>
      </c>
      <c r="B37" s="42" t="str">
        <f t="shared" ref="B37:AK37" si="13">MID($B4,B36,1)</f>
        <v>c</v>
      </c>
      <c r="C37" s="42" t="str">
        <f t="shared" si="13"/>
        <v>5</v>
      </c>
      <c r="D37" s="42" t="str">
        <f t="shared" si="13"/>
        <v>8</v>
      </c>
      <c r="E37" s="42" t="str">
        <f t="shared" si="13"/>
        <v>2</v>
      </c>
      <c r="F37" s="42" t="str">
        <f t="shared" si="13"/>
        <v>a</v>
      </c>
      <c r="G37" s="42" t="str">
        <f t="shared" si="13"/>
        <v>1</v>
      </c>
      <c r="H37" s="42" t="str">
        <f t="shared" si="13"/>
        <v>0</v>
      </c>
      <c r="I37" s="42" t="str">
        <f t="shared" si="13"/>
        <v>8</v>
      </c>
      <c r="J37" s="42" t="str">
        <f t="shared" si="13"/>
        <v>7</v>
      </c>
      <c r="K37" s="42" t="str">
        <f t="shared" si="13"/>
        <v>0</v>
      </c>
      <c r="L37" s="42" t="str">
        <f t="shared" si="13"/>
        <v>5</v>
      </c>
      <c r="M37" s="42" t="str">
        <f t="shared" si="13"/>
        <v>0</v>
      </c>
      <c r="N37" s="42" t="str">
        <f t="shared" si="13"/>
        <v/>
      </c>
      <c r="O37" s="42" t="str">
        <f t="shared" si="13"/>
        <v/>
      </c>
      <c r="P37" s="42" t="str">
        <f t="shared" si="13"/>
        <v/>
      </c>
      <c r="Q37" s="42" t="str">
        <f t="shared" si="13"/>
        <v/>
      </c>
      <c r="R37" s="42" t="str">
        <f t="shared" si="13"/>
        <v/>
      </c>
      <c r="S37" s="42" t="str">
        <f t="shared" si="13"/>
        <v/>
      </c>
      <c r="T37" s="42" t="str">
        <f t="shared" si="13"/>
        <v/>
      </c>
      <c r="U37" s="42" t="str">
        <f t="shared" si="13"/>
        <v/>
      </c>
      <c r="V37" s="42" t="str">
        <f t="shared" si="13"/>
        <v/>
      </c>
      <c r="W37" s="42" t="str">
        <f t="shared" si="13"/>
        <v/>
      </c>
      <c r="X37" s="42" t="str">
        <f t="shared" si="13"/>
        <v/>
      </c>
      <c r="Y37" s="42" t="str">
        <f t="shared" si="13"/>
        <v/>
      </c>
      <c r="Z37" s="42" t="str">
        <f t="shared" si="13"/>
        <v/>
      </c>
      <c r="AA37" s="42" t="str">
        <f t="shared" si="13"/>
        <v/>
      </c>
      <c r="AB37" s="42" t="str">
        <f t="shared" si="13"/>
        <v/>
      </c>
      <c r="AC37" s="42" t="str">
        <f t="shared" si="13"/>
        <v/>
      </c>
      <c r="AD37" s="42" t="str">
        <f t="shared" si="13"/>
        <v/>
      </c>
      <c r="AE37" s="42" t="str">
        <f t="shared" si="13"/>
        <v/>
      </c>
      <c r="AF37" s="42" t="str">
        <f t="shared" si="13"/>
        <v/>
      </c>
      <c r="AG37" s="42" t="str">
        <f t="shared" si="13"/>
        <v/>
      </c>
      <c r="AH37" s="42" t="str">
        <f t="shared" si="13"/>
        <v/>
      </c>
      <c r="AI37" s="42" t="str">
        <f t="shared" si="13"/>
        <v/>
      </c>
      <c r="AJ37" s="42" t="str">
        <f t="shared" si="13"/>
        <v/>
      </c>
      <c r="AK37" s="42" t="str">
        <f t="shared" si="13"/>
        <v/>
      </c>
    </row>
    <row r="38" spans="1:37" x14ac:dyDescent="0.25">
      <c r="A38" s="40" t="s">
        <v>28</v>
      </c>
      <c r="B38" s="41" t="str">
        <f t="shared" ref="B38:AK38" si="14">HEX2BIN(B37,4)</f>
        <v>1100</v>
      </c>
      <c r="C38" s="41" t="str">
        <f t="shared" si="14"/>
        <v>0101</v>
      </c>
      <c r="D38" s="41" t="str">
        <f t="shared" si="14"/>
        <v>1000</v>
      </c>
      <c r="E38" s="41" t="str">
        <f t="shared" si="14"/>
        <v>0010</v>
      </c>
      <c r="F38" s="41" t="str">
        <f t="shared" si="14"/>
        <v>1010</v>
      </c>
      <c r="G38" s="41" t="str">
        <f t="shared" si="14"/>
        <v>0001</v>
      </c>
      <c r="H38" s="41" t="str">
        <f t="shared" si="14"/>
        <v>0000</v>
      </c>
      <c r="I38" s="41" t="str">
        <f t="shared" si="14"/>
        <v>1000</v>
      </c>
      <c r="J38" s="41" t="str">
        <f t="shared" si="14"/>
        <v>0111</v>
      </c>
      <c r="K38" s="41" t="str">
        <f t="shared" si="14"/>
        <v>0000</v>
      </c>
      <c r="L38" s="41" t="str">
        <f t="shared" si="14"/>
        <v>0101</v>
      </c>
      <c r="M38" s="41" t="str">
        <f t="shared" si="14"/>
        <v>0000</v>
      </c>
      <c r="N38" s="41" t="str">
        <f t="shared" si="14"/>
        <v>0000</v>
      </c>
      <c r="O38" s="41" t="str">
        <f t="shared" si="14"/>
        <v>0000</v>
      </c>
      <c r="P38" s="41" t="str">
        <f t="shared" si="14"/>
        <v>0000</v>
      </c>
      <c r="Q38" s="41" t="str">
        <f t="shared" si="14"/>
        <v>0000</v>
      </c>
      <c r="R38" s="41" t="str">
        <f t="shared" si="14"/>
        <v>0000</v>
      </c>
      <c r="S38" s="41" t="str">
        <f t="shared" si="14"/>
        <v>0000</v>
      </c>
      <c r="T38" s="41" t="str">
        <f t="shared" si="14"/>
        <v>0000</v>
      </c>
      <c r="U38" s="41" t="str">
        <f t="shared" si="14"/>
        <v>0000</v>
      </c>
      <c r="V38" s="41" t="str">
        <f t="shared" si="14"/>
        <v>0000</v>
      </c>
      <c r="W38" s="41" t="str">
        <f t="shared" si="14"/>
        <v>0000</v>
      </c>
      <c r="X38" s="41" t="str">
        <f t="shared" si="14"/>
        <v>0000</v>
      </c>
      <c r="Y38" s="41" t="str">
        <f t="shared" si="14"/>
        <v>0000</v>
      </c>
      <c r="Z38" s="41" t="str">
        <f t="shared" si="14"/>
        <v>0000</v>
      </c>
      <c r="AA38" s="41" t="str">
        <f t="shared" si="14"/>
        <v>0000</v>
      </c>
      <c r="AB38" s="41" t="str">
        <f t="shared" si="14"/>
        <v>0000</v>
      </c>
      <c r="AC38" s="41" t="str">
        <f t="shared" si="14"/>
        <v>0000</v>
      </c>
      <c r="AD38" s="41" t="str">
        <f t="shared" si="14"/>
        <v>0000</v>
      </c>
      <c r="AE38" s="41" t="str">
        <f t="shared" si="14"/>
        <v>0000</v>
      </c>
      <c r="AF38" s="41" t="str">
        <f t="shared" si="14"/>
        <v>0000</v>
      </c>
      <c r="AG38" s="41" t="str">
        <f t="shared" si="14"/>
        <v>0000</v>
      </c>
      <c r="AH38" s="41" t="str">
        <f t="shared" si="14"/>
        <v>0000</v>
      </c>
      <c r="AI38" s="41" t="str">
        <f t="shared" si="14"/>
        <v>0000</v>
      </c>
      <c r="AJ38" s="41" t="str">
        <f t="shared" si="14"/>
        <v>0000</v>
      </c>
      <c r="AK38" s="41" t="str">
        <f t="shared" si="14"/>
        <v>0000</v>
      </c>
    </row>
    <row r="39" spans="1:37" x14ac:dyDescent="0.25">
      <c r="B39" s="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37" x14ac:dyDescent="0.25">
      <c r="A40" s="226" t="s">
        <v>29</v>
      </c>
      <c r="B40" s="226"/>
      <c r="C40" s="210" t="s">
        <v>30</v>
      </c>
      <c r="D40" s="210"/>
      <c r="E40" s="210"/>
      <c r="F40" s="227" t="s">
        <v>31</v>
      </c>
      <c r="G40" s="227"/>
      <c r="H40" s="210" t="s">
        <v>32</v>
      </c>
      <c r="I40" s="210"/>
      <c r="J40" s="210"/>
      <c r="K40" s="210"/>
      <c r="L40" s="210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</sheetData>
  <sheetProtection algorithmName="SHA-512" hashValue="a0P1JVo6TQDgUlTlA/jLaLJd8wbQYImGQg1vXvSXRApk3FtCbh9ruQc8Qk65GmyO/e3kRCkvw6YqvfVQckFDcA==" saltValue="ha5iHlr6CcgkbjV2wxeDyw==" spinCount="100000" sheet="1" objects="1" scenarios="1"/>
  <mergeCells count="18">
    <mergeCell ref="A34:L34"/>
    <mergeCell ref="A35:Y35"/>
    <mergeCell ref="A40:B40"/>
    <mergeCell ref="C40:E40"/>
    <mergeCell ref="F40:G40"/>
    <mergeCell ref="H40:L40"/>
    <mergeCell ref="A33:L33"/>
    <mergeCell ref="A1:Y1"/>
    <mergeCell ref="A2:M2"/>
    <mergeCell ref="A3:L3"/>
    <mergeCell ref="B4:L4"/>
    <mergeCell ref="B5:O5"/>
    <mergeCell ref="A21:L21"/>
    <mergeCell ref="A22:H22"/>
    <mergeCell ref="A29:L29"/>
    <mergeCell ref="A30:L30"/>
    <mergeCell ref="A31:L31"/>
    <mergeCell ref="A32:L32"/>
  </mergeCells>
  <hyperlinks>
    <hyperlink ref="A33" r:id="rId1" xr:uid="{FE64ED39-1A54-4E2E-84A4-51427F2441B8}"/>
    <hyperlink ref="A34" r:id="rId2" xr:uid="{19DDB0DF-B0EA-4B10-AD00-8A5B2B5A9473}"/>
    <hyperlink ref="C40" r:id="rId3" xr:uid="{11183DA1-BFA4-4E16-B73F-5177FDE840D5}"/>
    <hyperlink ref="H40" r:id="rId4" xr:uid="{B538F7BF-CF07-447F-A169-E8AA597268A6}"/>
    <hyperlink ref="K22" r:id="rId5" xr:uid="{BAF5F3F8-D377-44A8-B575-0DD3CBF9F4F1}"/>
  </hyperlinks>
  <pageMargins left="0.25" right="0.25" top="0.75" bottom="0.75" header="0.51180555555555496" footer="0.51180555555555496"/>
  <pageSetup paperSize="9" firstPageNumber="0" fitToHeight="0" orientation="landscape" horizontalDpi="300" verticalDpi="300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E5"/>
  <sheetViews>
    <sheetView zoomScaleNormal="100" workbookViewId="0"/>
  </sheetViews>
  <sheetFormatPr defaultColWidth="8.5703125" defaultRowHeight="15" x14ac:dyDescent="0.25"/>
  <sheetData>
    <row r="1" spans="3:5" x14ac:dyDescent="0.25">
      <c r="C1" t="s">
        <v>54</v>
      </c>
      <c r="D1" t="s">
        <v>55</v>
      </c>
      <c r="E1" t="s">
        <v>56</v>
      </c>
    </row>
    <row r="2" spans="3:5" x14ac:dyDescent="0.25">
      <c r="C2" t="s">
        <v>57</v>
      </c>
    </row>
    <row r="3" spans="3:5" x14ac:dyDescent="0.25">
      <c r="C3" t="s">
        <v>58</v>
      </c>
    </row>
    <row r="4" spans="3:5" x14ac:dyDescent="0.25">
      <c r="C4" t="s">
        <v>59</v>
      </c>
    </row>
    <row r="5" spans="3:5" x14ac:dyDescent="0.25">
      <c r="C5" t="s">
        <v>60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MX2024 16Byte (Med res)</vt:lpstr>
      <vt:lpstr>MHA Alarm 10Byte</vt:lpstr>
      <vt:lpstr>MH0S Service Msg 12B message</vt:lpstr>
      <vt:lpstr>MH1S Service Msg 14B message</vt:lpstr>
      <vt:lpstr>MH2S Service 12B Alarm Return</vt:lpstr>
      <vt:lpstr>ALRM DOWNLINK 12B Set Alarm</vt:lpstr>
      <vt:lpstr>_SSC</vt:lpstr>
      <vt:lpstr>'ALRM DOWNLINK 12B Set Alarm'!Print_Area</vt:lpstr>
      <vt:lpstr>'MH0S Service Msg 12B message'!Print_Area</vt:lpstr>
      <vt:lpstr>'MH1S Service Msg 14B message'!Print_Area</vt:lpstr>
      <vt:lpstr>'MH2S Service 12B Alarm Return'!Print_Area</vt:lpstr>
      <vt:lpstr>'MHA Alarm 10Byte'!Print_Area</vt:lpstr>
      <vt:lpstr>'MX2024 16Byte (Med res)'!Print_Area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baranij</dc:creator>
  <dc:description/>
  <cp:lastModifiedBy>Peter Wolf</cp:lastModifiedBy>
  <cp:revision>2</cp:revision>
  <cp:lastPrinted>2020-01-21T13:35:26Z</cp:lastPrinted>
  <dcterms:created xsi:type="dcterms:W3CDTF">2017-11-13T06:59:09Z</dcterms:created>
  <dcterms:modified xsi:type="dcterms:W3CDTF">2026-03-06T07:11:35Z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